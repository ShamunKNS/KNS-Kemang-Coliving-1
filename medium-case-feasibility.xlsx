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NS HP 11\Desktop\Jerin\Project Cove Kemang\New Kemang Cove with revised fixed costs\"/>
    </mc:Choice>
  </mc:AlternateContent>
  <xr:revisionPtr revIDLastSave="0" documentId="13_ncr:1_{BDDB97BC-0131-422C-8440-2F59A00BDF32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Coves Data" sheetId="1" state="hidden" r:id="rId1"/>
    <sheet name="Financial Model Original" sheetId="4" state="hidden" r:id="rId2"/>
    <sheet name="Medium case - Main Dashboard" sheetId="18" r:id="rId3"/>
    <sheet name="WACC" sheetId="19" r:id="rId4"/>
    <sheet name="Opex Schedule" sheetId="16" r:id="rId5"/>
    <sheet name="Assumptions" sheetId="15" r:id="rId6"/>
    <sheet name="Annual Projections" sheetId="17" r:id="rId7"/>
    <sheet name="Loan Repayment Structure" sheetId="20" r:id="rId8"/>
    <sheet name="Salary Details" sheetId="21" r:id="rId9"/>
    <sheet name="Financial Model (2)" sheetId="14" state="hidden" r:id="rId10"/>
    <sheet name="Sheet10" sheetId="13" state="hidden" r:id="rId11"/>
    <sheet name="Financial Model (87%)" sheetId="8" state="hidden" r:id="rId12"/>
    <sheet name="Financial Model (60%)" sheetId="10" state="hidden" r:id="rId13"/>
    <sheet name="Financial Model lower monthly" sheetId="9" state="hidden" r:id="rId14"/>
    <sheet name="Financial Model (200 thou lower" sheetId="11" state="hidden" r:id="rId15"/>
    <sheet name="Financial Model (200 thou l (2)" sheetId="12" state="hidden" r:id="rId16"/>
  </sheets>
  <definedNames>
    <definedName name="_xlchart.v1.0" hidden="1">'Financial Model Original'!$B$24:$L$24</definedName>
    <definedName name="_xlchart.v1.1" hidden="1">'Financial Model Original'!$B$37:$L$37</definedName>
    <definedName name="_xlchart.v1.2" hidden="1">'Financial Model Original'!$B$38:$L$38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9" l="1"/>
  <c r="C34" i="18"/>
  <c r="C33" i="18"/>
  <c r="D15" i="16"/>
  <c r="E15" i="16"/>
  <c r="F15" i="16"/>
  <c r="G15" i="16"/>
  <c r="H15" i="16"/>
  <c r="I15" i="16"/>
  <c r="J15" i="16"/>
  <c r="K15" i="16"/>
  <c r="C15" i="16"/>
  <c r="D7" i="16"/>
  <c r="E7" i="16" s="1"/>
  <c r="F7" i="16" s="1"/>
  <c r="G7" i="16" s="1"/>
  <c r="H7" i="16" s="1"/>
  <c r="I7" i="16" s="1"/>
  <c r="J7" i="16" s="1"/>
  <c r="K7" i="16" s="1"/>
  <c r="C7" i="16"/>
  <c r="D6" i="16"/>
  <c r="E6" i="16" s="1"/>
  <c r="F6" i="16" s="1"/>
  <c r="G6" i="16" s="1"/>
  <c r="H6" i="16" s="1"/>
  <c r="I6" i="16" s="1"/>
  <c r="J6" i="16" s="1"/>
  <c r="K6" i="16" s="1"/>
  <c r="C6" i="16"/>
  <c r="D5" i="16"/>
  <c r="E5" i="16" s="1"/>
  <c r="F5" i="16" s="1"/>
  <c r="G5" i="16" s="1"/>
  <c r="H5" i="16" s="1"/>
  <c r="I5" i="16" s="1"/>
  <c r="J5" i="16" s="1"/>
  <c r="K5" i="16" s="1"/>
  <c r="C5" i="16"/>
  <c r="D4" i="16"/>
  <c r="E4" i="16" s="1"/>
  <c r="F4" i="16" s="1"/>
  <c r="G4" i="16" s="1"/>
  <c r="H4" i="16" s="1"/>
  <c r="I4" i="16" s="1"/>
  <c r="J4" i="16" s="1"/>
  <c r="K4" i="16" s="1"/>
  <c r="C4" i="16"/>
  <c r="D3" i="16"/>
  <c r="E3" i="16"/>
  <c r="F3" i="16" s="1"/>
  <c r="G3" i="16" s="1"/>
  <c r="H3" i="16" s="1"/>
  <c r="I3" i="16" s="1"/>
  <c r="J3" i="16" s="1"/>
  <c r="K3" i="16" s="1"/>
  <c r="E2" i="16"/>
  <c r="F2" i="16"/>
  <c r="G2" i="16"/>
  <c r="H2" i="16" s="1"/>
  <c r="I2" i="16" s="1"/>
  <c r="J2" i="16" s="1"/>
  <c r="K2" i="16" s="1"/>
  <c r="D2" i="16"/>
  <c r="C2" i="16"/>
  <c r="C3" i="16"/>
  <c r="C37" i="18"/>
  <c r="C38" i="18"/>
  <c r="C36" i="18"/>
  <c r="C32" i="18"/>
  <c r="C28" i="18"/>
  <c r="C29" i="18"/>
  <c r="C27" i="18"/>
  <c r="C22" i="18"/>
  <c r="C23" i="18"/>
  <c r="C24" i="18"/>
  <c r="C21" i="18"/>
  <c r="C18" i="18"/>
  <c r="C19" i="18"/>
  <c r="C17" i="18"/>
  <c r="C14" i="18"/>
  <c r="C15" i="18"/>
  <c r="C13" i="18"/>
  <c r="C10" i="18"/>
  <c r="C11" i="18"/>
  <c r="C9" i="18"/>
  <c r="C7" i="18"/>
  <c r="C6" i="18"/>
  <c r="C5" i="18"/>
  <c r="C3" i="18"/>
  <c r="C2" i="18"/>
  <c r="B22" i="17"/>
  <c r="B11" i="17"/>
  <c r="L4" i="17"/>
  <c r="J4" i="17"/>
  <c r="I4" i="17"/>
  <c r="H4" i="17"/>
  <c r="G4" i="17"/>
  <c r="F4" i="17"/>
  <c r="E4" i="17"/>
  <c r="D4" i="17"/>
  <c r="C4" i="17"/>
  <c r="C2" i="17"/>
  <c r="C13" i="19"/>
  <c r="C8" i="19"/>
  <c r="C7" i="19"/>
  <c r="B7" i="16"/>
  <c r="B4" i="16"/>
  <c r="G5" i="21"/>
  <c r="G4" i="21"/>
  <c r="F7" i="21"/>
  <c r="G7" i="21" s="1"/>
  <c r="F6" i="21"/>
  <c r="G6" i="21" s="1"/>
  <c r="C29" i="16"/>
  <c r="D29" i="16"/>
  <c r="E29" i="16"/>
  <c r="F29" i="16"/>
  <c r="G29" i="16"/>
  <c r="H29" i="16"/>
  <c r="H30" i="16" s="1"/>
  <c r="I29" i="16"/>
  <c r="I30" i="16" s="1"/>
  <c r="J29" i="16"/>
  <c r="J30" i="16" s="1"/>
  <c r="K29" i="16"/>
  <c r="B13" i="16"/>
  <c r="B29" i="16" s="1"/>
  <c r="B30" i="16" s="1"/>
  <c r="A29" i="16"/>
  <c r="C30" i="16"/>
  <c r="D30" i="16"/>
  <c r="E30" i="16"/>
  <c r="F30" i="16"/>
  <c r="G30" i="16"/>
  <c r="K30" i="16"/>
  <c r="B11" i="16"/>
  <c r="C11" i="16" s="1"/>
  <c r="D11" i="16" s="1"/>
  <c r="E11" i="16" s="1"/>
  <c r="F11" i="16" s="1"/>
  <c r="G11" i="16" s="1"/>
  <c r="H11" i="16" s="1"/>
  <c r="I11" i="16" s="1"/>
  <c r="J11" i="16" s="1"/>
  <c r="K11" i="16" s="1"/>
  <c r="B2" i="16"/>
  <c r="K4" i="17" l="1"/>
  <c r="G8" i="21"/>
  <c r="B24" i="16" s="1"/>
  <c r="C8" i="16"/>
  <c r="D8" i="16" s="1"/>
  <c r="E8" i="16" s="1"/>
  <c r="F8" i="16" s="1"/>
  <c r="G8" i="16" s="1"/>
  <c r="H8" i="16" s="1"/>
  <c r="I8" i="16" s="1"/>
  <c r="J8" i="16" s="1"/>
  <c r="K8" i="16" s="1"/>
  <c r="B8" i="16"/>
  <c r="B14" i="16"/>
  <c r="C13" i="16"/>
  <c r="D13" i="16" s="1"/>
  <c r="E13" i="16" s="1"/>
  <c r="F13" i="16" s="1"/>
  <c r="G13" i="16" s="1"/>
  <c r="H13" i="16" s="1"/>
  <c r="I13" i="16" s="1"/>
  <c r="J13" i="16" s="1"/>
  <c r="K13" i="16" s="1"/>
  <c r="C14" i="16"/>
  <c r="C20" i="15"/>
  <c r="C16" i="15"/>
  <c r="C12" i="15"/>
  <c r="C8" i="15"/>
  <c r="C4" i="15"/>
  <c r="D14" i="16" l="1"/>
  <c r="E14" i="16"/>
  <c r="C3" i="17"/>
  <c r="B5" i="16"/>
  <c r="F14" i="16" l="1"/>
  <c r="B12" i="16"/>
  <c r="C12" i="16" s="1"/>
  <c r="D12" i="16" s="1"/>
  <c r="E12" i="16" s="1"/>
  <c r="F12" i="16" s="1"/>
  <c r="G12" i="16" s="1"/>
  <c r="H12" i="16" s="1"/>
  <c r="I12" i="16" s="1"/>
  <c r="J12" i="16" s="1"/>
  <c r="K12" i="16" s="1"/>
  <c r="B10" i="16"/>
  <c r="B6" i="16"/>
  <c r="B3" i="16"/>
  <c r="G14" i="16" l="1"/>
  <c r="C3" i="20"/>
  <c r="C12" i="20" s="1"/>
  <c r="C14" i="20" s="1"/>
  <c r="H14" i="16" l="1"/>
  <c r="C9" i="20"/>
  <c r="J13" i="20" s="1"/>
  <c r="J9" i="17" s="1"/>
  <c r="F4" i="20"/>
  <c r="C8" i="20"/>
  <c r="I14" i="16" l="1"/>
  <c r="G13" i="20"/>
  <c r="G9" i="17" s="1"/>
  <c r="F13" i="20"/>
  <c r="F9" i="17" s="1"/>
  <c r="E13" i="20"/>
  <c r="E9" i="17" s="1"/>
  <c r="L13" i="20"/>
  <c r="L9" i="17" s="1"/>
  <c r="D13" i="20"/>
  <c r="I13" i="20"/>
  <c r="I9" i="17" s="1"/>
  <c r="K13" i="20"/>
  <c r="K9" i="17" s="1"/>
  <c r="H13" i="20"/>
  <c r="H9" i="17" s="1"/>
  <c r="C13" i="20"/>
  <c r="C9" i="17" s="1"/>
  <c r="F5" i="20"/>
  <c r="G6" i="20"/>
  <c r="J14" i="16" l="1"/>
  <c r="K14" i="16"/>
  <c r="D9" i="17"/>
  <c r="C15" i="20"/>
  <c r="C16" i="20" s="1"/>
  <c r="D12" i="20" s="1"/>
  <c r="D14" i="20" s="1"/>
  <c r="D15" i="20" s="1"/>
  <c r="D16" i="20" l="1"/>
  <c r="E12" i="20" s="1"/>
  <c r="E14" i="20" l="1"/>
  <c r="E15" i="20" s="1"/>
  <c r="E16" i="20" s="1"/>
  <c r="F12" i="20" s="1"/>
  <c r="F14" i="20" l="1"/>
  <c r="F15" i="20" s="1"/>
  <c r="F16" i="20" s="1"/>
  <c r="G12" i="20" s="1"/>
  <c r="G14" i="20" l="1"/>
  <c r="G15" i="20" s="1"/>
  <c r="G16" i="20" s="1"/>
  <c r="H12" i="20" s="1"/>
  <c r="H14" i="20" l="1"/>
  <c r="H15" i="20" s="1"/>
  <c r="H16" i="20" s="1"/>
  <c r="I12" i="20" s="1"/>
  <c r="P27" i="18"/>
  <c r="I14" i="20" l="1"/>
  <c r="I15" i="20" s="1"/>
  <c r="I16" i="20" s="1"/>
  <c r="J12" i="20" s="1"/>
  <c r="H27" i="18"/>
  <c r="I27" i="18"/>
  <c r="J27" i="18"/>
  <c r="K27" i="18"/>
  <c r="L27" i="18"/>
  <c r="M27" i="18"/>
  <c r="N27" i="18"/>
  <c r="O27" i="18"/>
  <c r="G27" i="18"/>
  <c r="B12" i="17"/>
  <c r="F30" i="18" s="1"/>
  <c r="F15" i="18"/>
  <c r="F12" i="18"/>
  <c r="F9" i="18"/>
  <c r="F8" i="18"/>
  <c r="F7" i="18"/>
  <c r="F6" i="18"/>
  <c r="F5" i="18"/>
  <c r="F4" i="18"/>
  <c r="F3" i="18"/>
  <c r="A26" i="16"/>
  <c r="A27" i="16"/>
  <c r="A28" i="16"/>
  <c r="A30" i="16"/>
  <c r="B28" i="16"/>
  <c r="B26" i="16"/>
  <c r="B21" i="16"/>
  <c r="B22" i="16"/>
  <c r="B18" i="16"/>
  <c r="C10" i="16"/>
  <c r="D10" i="16" s="1"/>
  <c r="E10" i="16" s="1"/>
  <c r="F10" i="16" s="1"/>
  <c r="G10" i="16" s="1"/>
  <c r="H10" i="16" s="1"/>
  <c r="I10" i="16" s="1"/>
  <c r="J10" i="16" s="1"/>
  <c r="K10" i="16" s="1"/>
  <c r="O12" i="18" s="1"/>
  <c r="O15" i="18"/>
  <c r="K27" i="16"/>
  <c r="O8" i="18"/>
  <c r="O7" i="18"/>
  <c r="K21" i="16"/>
  <c r="O5" i="18"/>
  <c r="O4" i="18"/>
  <c r="C18" i="16"/>
  <c r="F29" i="18" l="1"/>
  <c r="D2" i="17"/>
  <c r="G22" i="18"/>
  <c r="G21" i="18"/>
  <c r="G20" i="18"/>
  <c r="D26" i="16"/>
  <c r="C26" i="16"/>
  <c r="J12" i="18"/>
  <c r="K7" i="18"/>
  <c r="F22" i="16"/>
  <c r="H7" i="18"/>
  <c r="H12" i="18"/>
  <c r="C22" i="16"/>
  <c r="L7" i="18"/>
  <c r="K23" i="16"/>
  <c r="K13" i="18"/>
  <c r="H27" i="16"/>
  <c r="H22" i="16"/>
  <c r="I7" i="18"/>
  <c r="H5" i="18"/>
  <c r="H8" i="18"/>
  <c r="I13" i="18"/>
  <c r="F27" i="16"/>
  <c r="K6" i="18"/>
  <c r="G21" i="16"/>
  <c r="I6" i="18"/>
  <c r="I23" i="16"/>
  <c r="E21" i="16"/>
  <c r="H6" i="18"/>
  <c r="F13" i="18"/>
  <c r="H13" i="18"/>
  <c r="D23" i="16"/>
  <c r="D21" i="16"/>
  <c r="E27" i="16"/>
  <c r="G13" i="18"/>
  <c r="O6" i="18"/>
  <c r="G6" i="18"/>
  <c r="O13" i="18"/>
  <c r="C23" i="16"/>
  <c r="C21" i="16"/>
  <c r="D27" i="16"/>
  <c r="B27" i="16"/>
  <c r="N6" i="18"/>
  <c r="N13" i="18"/>
  <c r="K22" i="16"/>
  <c r="J21" i="16"/>
  <c r="C27" i="16"/>
  <c r="M6" i="18"/>
  <c r="M7" i="18"/>
  <c r="N8" i="18"/>
  <c r="L12" i="18"/>
  <c r="M13" i="18"/>
  <c r="J22" i="16"/>
  <c r="I21" i="16"/>
  <c r="J27" i="16"/>
  <c r="K26" i="16"/>
  <c r="G3" i="18"/>
  <c r="L6" i="18"/>
  <c r="I8" i="18"/>
  <c r="K12" i="18"/>
  <c r="L13" i="18"/>
  <c r="I22" i="16"/>
  <c r="H21" i="16"/>
  <c r="I27" i="16"/>
  <c r="J26" i="16"/>
  <c r="I26" i="16"/>
  <c r="J6" i="18"/>
  <c r="J7" i="18"/>
  <c r="G8" i="18"/>
  <c r="I12" i="18"/>
  <c r="J13" i="18"/>
  <c r="J23" i="16"/>
  <c r="G22" i="16"/>
  <c r="F21" i="16"/>
  <c r="G27" i="16"/>
  <c r="H26" i="16"/>
  <c r="D28" i="16"/>
  <c r="G15" i="18"/>
  <c r="I28" i="16"/>
  <c r="H28" i="16"/>
  <c r="L15" i="18"/>
  <c r="G28" i="16"/>
  <c r="J15" i="18"/>
  <c r="E28" i="16"/>
  <c r="I15" i="18"/>
  <c r="H15" i="18"/>
  <c r="K28" i="16"/>
  <c r="C28" i="16"/>
  <c r="J28" i="16"/>
  <c r="N15" i="18"/>
  <c r="M15" i="18"/>
  <c r="K15" i="18"/>
  <c r="F28" i="16"/>
  <c r="G12" i="18"/>
  <c r="G26" i="16"/>
  <c r="N12" i="18"/>
  <c r="F26" i="16"/>
  <c r="M12" i="18"/>
  <c r="E26" i="16"/>
  <c r="M8" i="18"/>
  <c r="H23" i="16"/>
  <c r="L8" i="18"/>
  <c r="G23" i="16"/>
  <c r="K8" i="18"/>
  <c r="F23" i="16"/>
  <c r="J8" i="18"/>
  <c r="E23" i="16"/>
  <c r="G7" i="18"/>
  <c r="E22" i="16"/>
  <c r="N7" i="18"/>
  <c r="D22" i="16"/>
  <c r="E20" i="16"/>
  <c r="L5" i="18"/>
  <c r="K20" i="16"/>
  <c r="J5" i="18"/>
  <c r="J20" i="16"/>
  <c r="H20" i="16"/>
  <c r="G5" i="18"/>
  <c r="G20" i="16"/>
  <c r="N5" i="18"/>
  <c r="F20" i="16"/>
  <c r="M5" i="18"/>
  <c r="D20" i="16"/>
  <c r="K5" i="18"/>
  <c r="C20" i="16"/>
  <c r="I5" i="18"/>
  <c r="I20" i="16"/>
  <c r="M4" i="18"/>
  <c r="G19" i="16"/>
  <c r="L4" i="18"/>
  <c r="F19" i="16"/>
  <c r="K4" i="18"/>
  <c r="E19" i="16"/>
  <c r="J4" i="18"/>
  <c r="D19" i="16"/>
  <c r="I4" i="18"/>
  <c r="K19" i="16"/>
  <c r="C19" i="16"/>
  <c r="H4" i="18"/>
  <c r="J19" i="16"/>
  <c r="G4" i="18"/>
  <c r="I19" i="16"/>
  <c r="N4" i="18"/>
  <c r="H19" i="16"/>
  <c r="J14" i="20"/>
  <c r="J15" i="20" s="1"/>
  <c r="J16" i="20" s="1"/>
  <c r="K12" i="20" s="1"/>
  <c r="C9" i="16"/>
  <c r="B23" i="16"/>
  <c r="B20" i="16"/>
  <c r="B19" i="16"/>
  <c r="F16" i="18"/>
  <c r="F10" i="18"/>
  <c r="B9" i="16"/>
  <c r="B40" i="14"/>
  <c r="B37" i="14"/>
  <c r="B38" i="14" s="1"/>
  <c r="C26" i="14"/>
  <c r="C27" i="14" s="1"/>
  <c r="C28" i="14" s="1"/>
  <c r="C7" i="12"/>
  <c r="C26" i="12" s="1"/>
  <c r="B40" i="12"/>
  <c r="B37" i="12"/>
  <c r="B38" i="12" s="1"/>
  <c r="B40" i="11"/>
  <c r="B37" i="11"/>
  <c r="B38" i="11" s="1"/>
  <c r="C26" i="11"/>
  <c r="D26" i="11" s="1"/>
  <c r="D27" i="11" s="1"/>
  <c r="D28" i="11" s="1"/>
  <c r="B40" i="10"/>
  <c r="B38" i="10"/>
  <c r="B37" i="10"/>
  <c r="D27" i="10"/>
  <c r="D28" i="10" s="1"/>
  <c r="D26" i="10"/>
  <c r="E26" i="10" s="1"/>
  <c r="C26" i="10"/>
  <c r="C27" i="10" s="1"/>
  <c r="C28" i="10" s="1"/>
  <c r="B40" i="9"/>
  <c r="B38" i="9"/>
  <c r="B37" i="9"/>
  <c r="C26" i="9"/>
  <c r="B40" i="8"/>
  <c r="B38" i="8"/>
  <c r="B37" i="8"/>
  <c r="C26" i="8"/>
  <c r="C26" i="4"/>
  <c r="B25" i="16" l="1"/>
  <c r="E2" i="17"/>
  <c r="H22" i="18"/>
  <c r="D3" i="17"/>
  <c r="H21" i="18" s="1"/>
  <c r="H20" i="18"/>
  <c r="C12" i="19"/>
  <c r="B31" i="16"/>
  <c r="D9" i="16"/>
  <c r="C24" i="16"/>
  <c r="C25" i="16" s="1"/>
  <c r="G9" i="18"/>
  <c r="G10" i="18" s="1"/>
  <c r="D18" i="16"/>
  <c r="H3" i="18"/>
  <c r="K14" i="20"/>
  <c r="K15" i="20" s="1"/>
  <c r="K16" i="20" s="1"/>
  <c r="L12" i="20" s="1"/>
  <c r="C5" i="17"/>
  <c r="G23" i="18"/>
  <c r="F17" i="18"/>
  <c r="G16" i="18"/>
  <c r="B15" i="16"/>
  <c r="D26" i="14"/>
  <c r="D27" i="14" s="1"/>
  <c r="D28" i="14" s="1"/>
  <c r="C31" i="14"/>
  <c r="C30" i="14"/>
  <c r="C33" i="14"/>
  <c r="D33" i="14" s="1"/>
  <c r="E33" i="14" s="1"/>
  <c r="C32" i="14"/>
  <c r="C34" i="14" s="1"/>
  <c r="C27" i="12"/>
  <c r="C28" i="12" s="1"/>
  <c r="C33" i="12" s="1"/>
  <c r="D33" i="12" s="1"/>
  <c r="E33" i="12" s="1"/>
  <c r="D26" i="12"/>
  <c r="D31" i="11"/>
  <c r="D30" i="11"/>
  <c r="E26" i="11"/>
  <c r="C27" i="11"/>
  <c r="C28" i="11" s="1"/>
  <c r="D31" i="10"/>
  <c r="D30" i="10"/>
  <c r="C30" i="10"/>
  <c r="C32" i="10" s="1"/>
  <c r="C34" i="10" s="1"/>
  <c r="C33" i="10"/>
  <c r="D33" i="10" s="1"/>
  <c r="E33" i="10" s="1"/>
  <c r="C31" i="10"/>
  <c r="E27" i="10"/>
  <c r="B66" i="10" s="1"/>
  <c r="F26" i="10"/>
  <c r="D26" i="9"/>
  <c r="D27" i="9" s="1"/>
  <c r="D28" i="9" s="1"/>
  <c r="C27" i="9"/>
  <c r="C28" i="9" s="1"/>
  <c r="C28" i="8"/>
  <c r="C27" i="8"/>
  <c r="D26" i="8"/>
  <c r="B17" i="1"/>
  <c r="B16" i="1"/>
  <c r="C17" i="1" s="1"/>
  <c r="D17" i="1" s="1"/>
  <c r="E17" i="1" s="1"/>
  <c r="F17" i="1" s="1"/>
  <c r="G17" i="1" s="1"/>
  <c r="H17" i="1" s="1"/>
  <c r="I17" i="1" s="1"/>
  <c r="J17" i="1" s="1"/>
  <c r="K17" i="1" s="1"/>
  <c r="L17" i="1" s="1"/>
  <c r="B37" i="4"/>
  <c r="B38" i="4" s="1"/>
  <c r="B40" i="4"/>
  <c r="D26" i="4"/>
  <c r="E3" i="17" l="1"/>
  <c r="E6" i="17"/>
  <c r="H23" i="18"/>
  <c r="D5" i="17"/>
  <c r="F2" i="17"/>
  <c r="I22" i="18"/>
  <c r="I20" i="18"/>
  <c r="C31" i="16"/>
  <c r="G17" i="18"/>
  <c r="H9" i="18"/>
  <c r="H10" i="18" s="1"/>
  <c r="D24" i="16"/>
  <c r="D25" i="16" s="1"/>
  <c r="D31" i="16" s="1"/>
  <c r="I3" i="18"/>
  <c r="E18" i="16"/>
  <c r="L14" i="20"/>
  <c r="L15" i="20" s="1"/>
  <c r="L16" i="20" s="1"/>
  <c r="D6" i="17"/>
  <c r="C6" i="17"/>
  <c r="H16" i="18"/>
  <c r="E26" i="14"/>
  <c r="E27" i="14" s="1"/>
  <c r="B66" i="14" s="1"/>
  <c r="D31" i="14"/>
  <c r="D30" i="14"/>
  <c r="B68" i="14"/>
  <c r="F33" i="14"/>
  <c r="G33" i="14" s="1"/>
  <c r="H33" i="14" s="1"/>
  <c r="I33" i="14" s="1"/>
  <c r="J33" i="14" s="1"/>
  <c r="K33" i="14" s="1"/>
  <c r="L33" i="14" s="1"/>
  <c r="C35" i="14"/>
  <c r="C36" i="14" s="1"/>
  <c r="C37" i="14" s="1"/>
  <c r="C30" i="12"/>
  <c r="C31" i="12"/>
  <c r="E26" i="12"/>
  <c r="D27" i="12"/>
  <c r="D28" i="12" s="1"/>
  <c r="F33" i="12"/>
  <c r="G33" i="12" s="1"/>
  <c r="H33" i="12" s="1"/>
  <c r="I33" i="12" s="1"/>
  <c r="J33" i="12" s="1"/>
  <c r="K33" i="12" s="1"/>
  <c r="L33" i="12" s="1"/>
  <c r="B68" i="12"/>
  <c r="C33" i="11"/>
  <c r="D33" i="11" s="1"/>
  <c r="E33" i="11" s="1"/>
  <c r="C30" i="11"/>
  <c r="C32" i="11"/>
  <c r="C34" i="11" s="1"/>
  <c r="C31" i="11"/>
  <c r="E27" i="11"/>
  <c r="B66" i="11" s="1"/>
  <c r="F26" i="11"/>
  <c r="D32" i="11"/>
  <c r="D34" i="11" s="1"/>
  <c r="E26" i="9"/>
  <c r="D32" i="10"/>
  <c r="D34" i="10" s="1"/>
  <c r="D35" i="10"/>
  <c r="D36" i="10" s="1"/>
  <c r="C36" i="10"/>
  <c r="C37" i="10" s="1"/>
  <c r="C35" i="10"/>
  <c r="E28" i="10"/>
  <c r="B68" i="10"/>
  <c r="F33" i="10"/>
  <c r="G33" i="10" s="1"/>
  <c r="H33" i="10" s="1"/>
  <c r="I33" i="10" s="1"/>
  <c r="J33" i="10" s="1"/>
  <c r="K33" i="10" s="1"/>
  <c r="L33" i="10" s="1"/>
  <c r="F27" i="10"/>
  <c r="F28" i="10" s="1"/>
  <c r="G26" i="10"/>
  <c r="K41" i="10"/>
  <c r="K42" i="10" s="1"/>
  <c r="C33" i="9"/>
  <c r="D33" i="9" s="1"/>
  <c r="E33" i="9" s="1"/>
  <c r="F33" i="9" s="1"/>
  <c r="G33" i="9" s="1"/>
  <c r="H33" i="9" s="1"/>
  <c r="I33" i="9" s="1"/>
  <c r="J33" i="9" s="1"/>
  <c r="K33" i="9" s="1"/>
  <c r="L33" i="9" s="1"/>
  <c r="C30" i="9"/>
  <c r="C31" i="9"/>
  <c r="E27" i="9"/>
  <c r="B66" i="9" s="1"/>
  <c r="F26" i="9"/>
  <c r="D30" i="9"/>
  <c r="D31" i="9"/>
  <c r="D27" i="8"/>
  <c r="D28" i="8" s="1"/>
  <c r="E26" i="8"/>
  <c r="C30" i="8"/>
  <c r="C33" i="8"/>
  <c r="D33" i="8" s="1"/>
  <c r="E33" i="8" s="1"/>
  <c r="C31" i="8"/>
  <c r="C32" i="8"/>
  <c r="C34" i="8" s="1"/>
  <c r="C27" i="4"/>
  <c r="C28" i="4" s="1"/>
  <c r="C33" i="4" s="1"/>
  <c r="D33" i="4" s="1"/>
  <c r="E33" i="4" s="1"/>
  <c r="F33" i="4" s="1"/>
  <c r="G33" i="4" s="1"/>
  <c r="H33" i="4" s="1"/>
  <c r="I33" i="4" s="1"/>
  <c r="J33" i="4" s="1"/>
  <c r="K33" i="4" s="1"/>
  <c r="L33" i="4" s="1"/>
  <c r="E26" i="4"/>
  <c r="D27" i="4"/>
  <c r="D28" i="4" s="1"/>
  <c r="F3" i="17" l="1"/>
  <c r="G2" i="17"/>
  <c r="I21" i="18"/>
  <c r="I23" i="18" s="1"/>
  <c r="E5" i="17"/>
  <c r="J22" i="18"/>
  <c r="J20" i="18"/>
  <c r="H17" i="18"/>
  <c r="F9" i="16"/>
  <c r="E24" i="16"/>
  <c r="E25" i="16" s="1"/>
  <c r="E31" i="16" s="1"/>
  <c r="I9" i="18"/>
  <c r="I10" i="18" s="1"/>
  <c r="E9" i="16"/>
  <c r="F6" i="17" s="1"/>
  <c r="C7" i="17"/>
  <c r="C8" i="17" s="1"/>
  <c r="G24" i="18"/>
  <c r="G25" i="18" s="1"/>
  <c r="D7" i="17"/>
  <c r="H24" i="18"/>
  <c r="H25" i="18" s="1"/>
  <c r="J3" i="18"/>
  <c r="F18" i="16"/>
  <c r="I16" i="18"/>
  <c r="D32" i="14"/>
  <c r="D34" i="14" s="1"/>
  <c r="D35" i="14" s="1"/>
  <c r="K41" i="14" s="1"/>
  <c r="K42" i="14" s="1"/>
  <c r="F26" i="14"/>
  <c r="F27" i="14" s="1"/>
  <c r="E28" i="14"/>
  <c r="B41" i="14"/>
  <c r="C38" i="14"/>
  <c r="C32" i="12"/>
  <c r="C34" i="12" s="1"/>
  <c r="C35" i="12" s="1"/>
  <c r="C36" i="12" s="1"/>
  <c r="C37" i="12" s="1"/>
  <c r="B41" i="12" s="1"/>
  <c r="D31" i="12"/>
  <c r="D30" i="12"/>
  <c r="E27" i="12"/>
  <c r="F26" i="12"/>
  <c r="C35" i="11"/>
  <c r="C36" i="11" s="1"/>
  <c r="C37" i="11" s="1"/>
  <c r="E28" i="11"/>
  <c r="G26" i="11"/>
  <c r="F27" i="11"/>
  <c r="F28" i="11" s="1"/>
  <c r="D35" i="11"/>
  <c r="K41" i="11" s="1"/>
  <c r="K42" i="11" s="1"/>
  <c r="B68" i="11"/>
  <c r="F33" i="11"/>
  <c r="G33" i="11" s="1"/>
  <c r="H33" i="11" s="1"/>
  <c r="I33" i="11" s="1"/>
  <c r="J33" i="11" s="1"/>
  <c r="K33" i="11" s="1"/>
  <c r="L33" i="11" s="1"/>
  <c r="B68" i="9"/>
  <c r="F30" i="10"/>
  <c r="F31" i="10"/>
  <c r="D37" i="10"/>
  <c r="B42" i="10" s="1"/>
  <c r="B54" i="10"/>
  <c r="E31" i="10"/>
  <c r="E30" i="10"/>
  <c r="B67" i="10" s="1"/>
  <c r="G27" i="10"/>
  <c r="H26" i="10"/>
  <c r="G28" i="10"/>
  <c r="B41" i="10"/>
  <c r="C38" i="10"/>
  <c r="C32" i="9"/>
  <c r="C34" i="9" s="1"/>
  <c r="C35" i="9" s="1"/>
  <c r="C36" i="9" s="1"/>
  <c r="C37" i="9" s="1"/>
  <c r="B41" i="9" s="1"/>
  <c r="D32" i="9"/>
  <c r="D34" i="9" s="1"/>
  <c r="D35" i="9" s="1"/>
  <c r="F27" i="9"/>
  <c r="F28" i="9" s="1"/>
  <c r="G26" i="9"/>
  <c r="E28" i="9"/>
  <c r="D31" i="8"/>
  <c r="D30" i="8"/>
  <c r="D32" i="8" s="1"/>
  <c r="D34" i="8" s="1"/>
  <c r="C35" i="8"/>
  <c r="C36" i="8"/>
  <c r="C37" i="8" s="1"/>
  <c r="E27" i="8"/>
  <c r="B66" i="8" s="1"/>
  <c r="F26" i="8"/>
  <c r="B68" i="8"/>
  <c r="F33" i="8"/>
  <c r="G33" i="8" s="1"/>
  <c r="H33" i="8" s="1"/>
  <c r="I33" i="8" s="1"/>
  <c r="J33" i="8" s="1"/>
  <c r="K33" i="8" s="1"/>
  <c r="L33" i="8" s="1"/>
  <c r="D31" i="4"/>
  <c r="D30" i="4"/>
  <c r="F26" i="4"/>
  <c r="E27" i="4"/>
  <c r="C31" i="4"/>
  <c r="C30" i="4"/>
  <c r="D8" i="17" l="1"/>
  <c r="B15" i="17" s="1"/>
  <c r="G3" i="17"/>
  <c r="F5" i="17"/>
  <c r="F7" i="17" s="1"/>
  <c r="F8" i="17" s="1"/>
  <c r="J21" i="18"/>
  <c r="J23" i="18" s="1"/>
  <c r="H2" i="17"/>
  <c r="K22" i="18"/>
  <c r="K21" i="18"/>
  <c r="K20" i="18"/>
  <c r="G9" i="16"/>
  <c r="J9" i="18"/>
  <c r="J10" i="18" s="1"/>
  <c r="F24" i="16"/>
  <c r="F25" i="16" s="1"/>
  <c r="F31" i="16" s="1"/>
  <c r="I17" i="18"/>
  <c r="K3" i="18"/>
  <c r="G18" i="16"/>
  <c r="E7" i="17"/>
  <c r="E8" i="17" s="1"/>
  <c r="I24" i="18"/>
  <c r="I25" i="18" s="1"/>
  <c r="G6" i="17"/>
  <c r="J24" i="18"/>
  <c r="G26" i="18"/>
  <c r="G28" i="18" s="1"/>
  <c r="C10" i="17"/>
  <c r="C11" i="17" s="1"/>
  <c r="J16" i="18"/>
  <c r="F28" i="14"/>
  <c r="G26" i="14"/>
  <c r="D36" i="14"/>
  <c r="B54" i="14"/>
  <c r="D37" i="14"/>
  <c r="B42" i="14" s="1"/>
  <c r="F30" i="14"/>
  <c r="F31" i="14"/>
  <c r="E30" i="14"/>
  <c r="E31" i="14"/>
  <c r="G27" i="14"/>
  <c r="G28" i="14" s="1"/>
  <c r="H26" i="14"/>
  <c r="C38" i="12"/>
  <c r="B66" i="12"/>
  <c r="E28" i="12"/>
  <c r="F27" i="12"/>
  <c r="F28" i="12" s="1"/>
  <c r="G26" i="12"/>
  <c r="D32" i="12"/>
  <c r="D34" i="12" s="1"/>
  <c r="D36" i="11"/>
  <c r="F31" i="11"/>
  <c r="F30" i="11"/>
  <c r="F32" i="11"/>
  <c r="F34" i="11" s="1"/>
  <c r="B41" i="11"/>
  <c r="C38" i="11"/>
  <c r="E32" i="11"/>
  <c r="E34" i="11" s="1"/>
  <c r="E31" i="11"/>
  <c r="E30" i="11"/>
  <c r="D37" i="11"/>
  <c r="B42" i="11" s="1"/>
  <c r="B54" i="11"/>
  <c r="G27" i="11"/>
  <c r="G28" i="11" s="1"/>
  <c r="H26" i="11"/>
  <c r="C38" i="9"/>
  <c r="D36" i="9"/>
  <c r="K41" i="9"/>
  <c r="K42" i="9" s="1"/>
  <c r="F32" i="10"/>
  <c r="F34" i="10" s="1"/>
  <c r="E32" i="10"/>
  <c r="E34" i="10" s="1"/>
  <c r="G31" i="10"/>
  <c r="G32" i="10" s="1"/>
  <c r="G34" i="10" s="1"/>
  <c r="G30" i="10"/>
  <c r="I26" i="10"/>
  <c r="H28" i="10"/>
  <c r="H27" i="10"/>
  <c r="D38" i="10"/>
  <c r="D37" i="9"/>
  <c r="B42" i="9" s="1"/>
  <c r="B54" i="9"/>
  <c r="H26" i="9"/>
  <c r="G27" i="9"/>
  <c r="G28" i="9" s="1"/>
  <c r="F30" i="9"/>
  <c r="F31" i="9"/>
  <c r="E31" i="9"/>
  <c r="E30" i="9"/>
  <c r="B67" i="9" s="1"/>
  <c r="E28" i="8"/>
  <c r="F27" i="8"/>
  <c r="F28" i="8" s="1"/>
  <c r="G26" i="8"/>
  <c r="B41" i="8"/>
  <c r="C38" i="8"/>
  <c r="D35" i="8"/>
  <c r="K41" i="8" s="1"/>
  <c r="K42" i="8" s="1"/>
  <c r="D36" i="8"/>
  <c r="C32" i="4"/>
  <c r="E28" i="4"/>
  <c r="B68" i="4" s="1"/>
  <c r="B66" i="4"/>
  <c r="D32" i="4"/>
  <c r="F27" i="4"/>
  <c r="F28" i="4" s="1"/>
  <c r="G26" i="4"/>
  <c r="D10" i="17" l="1"/>
  <c r="J25" i="18"/>
  <c r="I2" i="17"/>
  <c r="H3" i="17"/>
  <c r="L21" i="18" s="1"/>
  <c r="L22" i="18"/>
  <c r="L20" i="18"/>
  <c r="G5" i="17"/>
  <c r="G7" i="17" s="1"/>
  <c r="G8" i="17" s="1"/>
  <c r="K23" i="18"/>
  <c r="H26" i="18"/>
  <c r="F10" i="17"/>
  <c r="F11" i="17" s="1"/>
  <c r="J29" i="18" s="1"/>
  <c r="E10" i="17"/>
  <c r="E11" i="17" s="1"/>
  <c r="I29" i="18" s="1"/>
  <c r="J17" i="18"/>
  <c r="H9" i="16"/>
  <c r="K9" i="18"/>
  <c r="K10" i="18" s="1"/>
  <c r="G24" i="16"/>
  <c r="G25" i="16" s="1"/>
  <c r="G31" i="16" s="1"/>
  <c r="H6" i="17"/>
  <c r="K24" i="18"/>
  <c r="L3" i="18"/>
  <c r="H18" i="16"/>
  <c r="C12" i="17"/>
  <c r="G29" i="18"/>
  <c r="D11" i="17"/>
  <c r="H29" i="18" s="1"/>
  <c r="J26" i="18"/>
  <c r="K16" i="18"/>
  <c r="E32" i="14"/>
  <c r="E34" i="14" s="1"/>
  <c r="D38" i="14"/>
  <c r="B67" i="14"/>
  <c r="F32" i="14"/>
  <c r="F34" i="14" s="1"/>
  <c r="G31" i="14"/>
  <c r="G30" i="14"/>
  <c r="G32" i="14" s="1"/>
  <c r="G34" i="14" s="1"/>
  <c r="F35" i="14"/>
  <c r="F36" i="14" s="1"/>
  <c r="F37" i="14" s="1"/>
  <c r="B44" i="14" s="1"/>
  <c r="I26" i="14"/>
  <c r="H27" i="14"/>
  <c r="H28" i="14" s="1"/>
  <c r="E35" i="14"/>
  <c r="B69" i="14" s="1"/>
  <c r="D35" i="12"/>
  <c r="K41" i="12" s="1"/>
  <c r="K42" i="12" s="1"/>
  <c r="D36" i="12"/>
  <c r="F31" i="12"/>
  <c r="F30" i="12"/>
  <c r="F32" i="12"/>
  <c r="F34" i="12" s="1"/>
  <c r="F35" i="12" s="1"/>
  <c r="F36" i="12" s="1"/>
  <c r="F37" i="12" s="1"/>
  <c r="B44" i="12" s="1"/>
  <c r="G27" i="12"/>
  <c r="G28" i="12" s="1"/>
  <c r="H26" i="12"/>
  <c r="E30" i="12"/>
  <c r="E31" i="12"/>
  <c r="E32" i="12" s="1"/>
  <c r="E34" i="12" s="1"/>
  <c r="E35" i="12" s="1"/>
  <c r="B69" i="12" s="1"/>
  <c r="B67" i="11"/>
  <c r="G31" i="11"/>
  <c r="G30" i="11"/>
  <c r="G32" i="11" s="1"/>
  <c r="G34" i="11" s="1"/>
  <c r="F35" i="11"/>
  <c r="F36" i="11"/>
  <c r="F37" i="11" s="1"/>
  <c r="B44" i="11" s="1"/>
  <c r="D38" i="11"/>
  <c r="E35" i="11"/>
  <c r="B69" i="11" s="1"/>
  <c r="H28" i="11"/>
  <c r="H27" i="11"/>
  <c r="I26" i="11"/>
  <c r="F36" i="10"/>
  <c r="F37" i="10" s="1"/>
  <c r="B44" i="10" s="1"/>
  <c r="F35" i="10"/>
  <c r="G35" i="10"/>
  <c r="G36" i="10" s="1"/>
  <c r="G37" i="10" s="1"/>
  <c r="B45" i="10" s="1"/>
  <c r="H31" i="10"/>
  <c r="H30" i="10"/>
  <c r="H32" i="10" s="1"/>
  <c r="H34" i="10" s="1"/>
  <c r="J26" i="10"/>
  <c r="I27" i="10"/>
  <c r="I28" i="10" s="1"/>
  <c r="E35" i="10"/>
  <c r="B69" i="10" s="1"/>
  <c r="F32" i="9"/>
  <c r="F34" i="9" s="1"/>
  <c r="F35" i="9" s="1"/>
  <c r="F36" i="9" s="1"/>
  <c r="F37" i="9" s="1"/>
  <c r="B44" i="9" s="1"/>
  <c r="D38" i="9"/>
  <c r="E32" i="9"/>
  <c r="E34" i="9" s="1"/>
  <c r="G31" i="9"/>
  <c r="G30" i="9"/>
  <c r="G32" i="9" s="1"/>
  <c r="G34" i="9" s="1"/>
  <c r="I26" i="9"/>
  <c r="H27" i="9"/>
  <c r="H28" i="9" s="1"/>
  <c r="F30" i="8"/>
  <c r="F31" i="8"/>
  <c r="D37" i="8"/>
  <c r="B42" i="8" s="1"/>
  <c r="B54" i="8"/>
  <c r="E30" i="8"/>
  <c r="E32" i="8" s="1"/>
  <c r="E34" i="8" s="1"/>
  <c r="E31" i="8"/>
  <c r="D38" i="8"/>
  <c r="G27" i="8"/>
  <c r="G28" i="8" s="1"/>
  <c r="H26" i="8"/>
  <c r="E31" i="4"/>
  <c r="E30" i="4"/>
  <c r="D34" i="4"/>
  <c r="D35" i="4" s="1"/>
  <c r="K41" i="4" s="1"/>
  <c r="K42" i="4" s="1"/>
  <c r="F31" i="4"/>
  <c r="F30" i="4"/>
  <c r="H26" i="4"/>
  <c r="G27" i="4"/>
  <c r="G28" i="4" s="1"/>
  <c r="C34" i="4"/>
  <c r="J28" i="18" l="1"/>
  <c r="H28" i="18"/>
  <c r="F33" i="18"/>
  <c r="I3" i="17"/>
  <c r="M21" i="18" s="1"/>
  <c r="M22" i="18"/>
  <c r="L23" i="18"/>
  <c r="H5" i="17"/>
  <c r="H7" i="17" s="1"/>
  <c r="H8" i="17" s="1"/>
  <c r="K25" i="18"/>
  <c r="J2" i="17"/>
  <c r="M20" i="18"/>
  <c r="G10" i="17"/>
  <c r="G11" i="17" s="1"/>
  <c r="K29" i="18" s="1"/>
  <c r="I26" i="18"/>
  <c r="I28" i="18" s="1"/>
  <c r="K17" i="18"/>
  <c r="I9" i="16"/>
  <c r="H24" i="16"/>
  <c r="H25" i="16" s="1"/>
  <c r="H31" i="16" s="1"/>
  <c r="L9" i="18"/>
  <c r="L10" i="18" s="1"/>
  <c r="L24" i="18"/>
  <c r="I6" i="17"/>
  <c r="M3" i="18"/>
  <c r="I18" i="16"/>
  <c r="G30" i="18"/>
  <c r="D12" i="17"/>
  <c r="L16" i="18"/>
  <c r="G35" i="14"/>
  <c r="G36" i="14" s="1"/>
  <c r="G37" i="14" s="1"/>
  <c r="B45" i="14" s="1"/>
  <c r="H31" i="14"/>
  <c r="H30" i="14"/>
  <c r="I27" i="14"/>
  <c r="J26" i="14"/>
  <c r="I28" i="14"/>
  <c r="E36" i="14"/>
  <c r="E37" i="14" s="1"/>
  <c r="E36" i="12"/>
  <c r="E37" i="12" s="1"/>
  <c r="B43" i="12" s="1"/>
  <c r="H27" i="12"/>
  <c r="H28" i="12" s="1"/>
  <c r="I26" i="12"/>
  <c r="G31" i="12"/>
  <c r="G30" i="12"/>
  <c r="G32" i="12" s="1"/>
  <c r="G34" i="12" s="1"/>
  <c r="G35" i="12" s="1"/>
  <c r="G36" i="12" s="1"/>
  <c r="G37" i="12" s="1"/>
  <c r="B45" i="12" s="1"/>
  <c r="D37" i="12"/>
  <c r="B54" i="12"/>
  <c r="B67" i="12"/>
  <c r="H30" i="11"/>
  <c r="H31" i="11"/>
  <c r="H32" i="11" s="1"/>
  <c r="H34" i="11" s="1"/>
  <c r="G35" i="11"/>
  <c r="G36" i="11" s="1"/>
  <c r="G37" i="11" s="1"/>
  <c r="B45" i="11" s="1"/>
  <c r="E36" i="11"/>
  <c r="E37" i="11" s="1"/>
  <c r="B43" i="11" s="1"/>
  <c r="J26" i="11"/>
  <c r="I27" i="11"/>
  <c r="I28" i="11" s="1"/>
  <c r="H35" i="10"/>
  <c r="H36" i="10" s="1"/>
  <c r="H37" i="10" s="1"/>
  <c r="B46" i="10" s="1"/>
  <c r="I31" i="10"/>
  <c r="I30" i="10"/>
  <c r="I32" i="10"/>
  <c r="I34" i="10" s="1"/>
  <c r="J27" i="10"/>
  <c r="J28" i="10" s="1"/>
  <c r="K26" i="10"/>
  <c r="E36" i="10"/>
  <c r="E37" i="10" s="1"/>
  <c r="G35" i="9"/>
  <c r="G36" i="9" s="1"/>
  <c r="G37" i="9" s="1"/>
  <c r="B45" i="9" s="1"/>
  <c r="H31" i="9"/>
  <c r="H30" i="9"/>
  <c r="H32" i="9" s="1"/>
  <c r="H34" i="9" s="1"/>
  <c r="E35" i="9"/>
  <c r="B69" i="9" s="1"/>
  <c r="J26" i="9"/>
  <c r="I27" i="9"/>
  <c r="I28" i="9" s="1"/>
  <c r="F32" i="8"/>
  <c r="F34" i="8" s="1"/>
  <c r="F35" i="8" s="1"/>
  <c r="F36" i="8" s="1"/>
  <c r="F37" i="8" s="1"/>
  <c r="B44" i="8" s="1"/>
  <c r="G31" i="8"/>
  <c r="G30" i="8"/>
  <c r="G32" i="8" s="1"/>
  <c r="G34" i="8" s="1"/>
  <c r="E35" i="8"/>
  <c r="B69" i="8" s="1"/>
  <c r="B67" i="8"/>
  <c r="I26" i="8"/>
  <c r="H27" i="8"/>
  <c r="H28" i="8" s="1"/>
  <c r="E32" i="4"/>
  <c r="E34" i="4" s="1"/>
  <c r="F32" i="4"/>
  <c r="B67" i="4"/>
  <c r="D36" i="4"/>
  <c r="D37" i="4" s="1"/>
  <c r="B42" i="4" s="1"/>
  <c r="G31" i="4"/>
  <c r="G30" i="4"/>
  <c r="C35" i="4"/>
  <c r="C36" i="4" s="1"/>
  <c r="C37" i="4" s="1"/>
  <c r="I26" i="4"/>
  <c r="H27" i="4"/>
  <c r="H28" i="4" s="1"/>
  <c r="K2" i="17" l="1"/>
  <c r="J3" i="17"/>
  <c r="N21" i="18" s="1"/>
  <c r="L25" i="18"/>
  <c r="I5" i="17"/>
  <c r="M23" i="18"/>
  <c r="N22" i="18"/>
  <c r="N20" i="18"/>
  <c r="H10" i="17"/>
  <c r="H11" i="17" s="1"/>
  <c r="L29" i="18" s="1"/>
  <c r="K26" i="18"/>
  <c r="K28" i="18" s="1"/>
  <c r="L17" i="18"/>
  <c r="J9" i="16"/>
  <c r="I24" i="16"/>
  <c r="I25" i="16" s="1"/>
  <c r="I31" i="16" s="1"/>
  <c r="M9" i="18"/>
  <c r="M10" i="18" s="1"/>
  <c r="I7" i="17"/>
  <c r="I8" i="17" s="1"/>
  <c r="M24" i="18"/>
  <c r="J6" i="17"/>
  <c r="N3" i="18"/>
  <c r="J18" i="16"/>
  <c r="H30" i="18"/>
  <c r="E12" i="17"/>
  <c r="M16" i="18"/>
  <c r="H32" i="14"/>
  <c r="H34" i="14" s="1"/>
  <c r="H35" i="14" s="1"/>
  <c r="H36" i="14" s="1"/>
  <c r="H37" i="14" s="1"/>
  <c r="B46" i="14" s="1"/>
  <c r="I31" i="14"/>
  <c r="I30" i="14"/>
  <c r="I32" i="14" s="1"/>
  <c r="I34" i="14" s="1"/>
  <c r="K26" i="14"/>
  <c r="J27" i="14"/>
  <c r="J28" i="14" s="1"/>
  <c r="B43" i="14"/>
  <c r="E38" i="14"/>
  <c r="B42" i="12"/>
  <c r="D38" i="12"/>
  <c r="E38" i="12" s="1"/>
  <c r="F38" i="12" s="1"/>
  <c r="G38" i="12" s="1"/>
  <c r="I27" i="12"/>
  <c r="I28" i="12"/>
  <c r="J26" i="12"/>
  <c r="H31" i="12"/>
  <c r="H30" i="12"/>
  <c r="H32" i="12" s="1"/>
  <c r="H34" i="12" s="1"/>
  <c r="E38" i="11"/>
  <c r="F38" i="11" s="1"/>
  <c r="G38" i="11" s="1"/>
  <c r="I30" i="11"/>
  <c r="I31" i="11"/>
  <c r="I32" i="11"/>
  <c r="I34" i="11" s="1"/>
  <c r="H35" i="11"/>
  <c r="H36" i="11" s="1"/>
  <c r="H37" i="11" s="1"/>
  <c r="B46" i="11" s="1"/>
  <c r="J27" i="11"/>
  <c r="J28" i="11" s="1"/>
  <c r="K26" i="11"/>
  <c r="J31" i="10"/>
  <c r="J32" i="10" s="1"/>
  <c r="J34" i="10" s="1"/>
  <c r="J30" i="10"/>
  <c r="K27" i="10"/>
  <c r="K28" i="10" s="1"/>
  <c r="L26" i="10"/>
  <c r="I35" i="10"/>
  <c r="I36" i="10"/>
  <c r="I37" i="10" s="1"/>
  <c r="B47" i="10" s="1"/>
  <c r="B43" i="10"/>
  <c r="E38" i="10"/>
  <c r="I30" i="9"/>
  <c r="I31" i="9"/>
  <c r="H35" i="9"/>
  <c r="H36" i="9"/>
  <c r="H37" i="9" s="1"/>
  <c r="B46" i="9" s="1"/>
  <c r="J27" i="9"/>
  <c r="J28" i="9" s="1"/>
  <c r="K26" i="9"/>
  <c r="E36" i="9"/>
  <c r="E37" i="9" s="1"/>
  <c r="E36" i="8"/>
  <c r="E37" i="8" s="1"/>
  <c r="B43" i="8" s="1"/>
  <c r="G35" i="8"/>
  <c r="G36" i="8" s="1"/>
  <c r="G37" i="8" s="1"/>
  <c r="B45" i="8" s="1"/>
  <c r="J26" i="8"/>
  <c r="I27" i="8"/>
  <c r="I28" i="8" s="1"/>
  <c r="H31" i="8"/>
  <c r="H30" i="8"/>
  <c r="H32" i="8" s="1"/>
  <c r="H34" i="8" s="1"/>
  <c r="B54" i="4"/>
  <c r="G32" i="4"/>
  <c r="B41" i="4"/>
  <c r="C38" i="4"/>
  <c r="D38" i="4" s="1"/>
  <c r="H31" i="4"/>
  <c r="H30" i="4"/>
  <c r="H32" i="4" s="1"/>
  <c r="J26" i="4"/>
  <c r="I27" i="4"/>
  <c r="I28" i="4" s="1"/>
  <c r="E35" i="4"/>
  <c r="F34" i="4"/>
  <c r="K3" i="17" l="1"/>
  <c r="O21" i="18" s="1"/>
  <c r="O22" i="18"/>
  <c r="J5" i="17"/>
  <c r="J7" i="17" s="1"/>
  <c r="J8" i="17" s="1"/>
  <c r="M25" i="18"/>
  <c r="N23" i="18"/>
  <c r="L2" i="17"/>
  <c r="O20" i="18"/>
  <c r="I10" i="17"/>
  <c r="I11" i="17" s="1"/>
  <c r="M29" i="18" s="1"/>
  <c r="L26" i="18"/>
  <c r="L28" i="18" s="1"/>
  <c r="M17" i="18"/>
  <c r="K9" i="16"/>
  <c r="L6" i="17" s="1"/>
  <c r="J24" i="16"/>
  <c r="J25" i="16" s="1"/>
  <c r="J31" i="16" s="1"/>
  <c r="N9" i="18"/>
  <c r="N10" i="18" s="1"/>
  <c r="N24" i="18"/>
  <c r="K6" i="17"/>
  <c r="O3" i="18"/>
  <c r="K18" i="16"/>
  <c r="M26" i="18"/>
  <c r="F12" i="17"/>
  <c r="I30" i="18"/>
  <c r="N16" i="18"/>
  <c r="O16" i="18"/>
  <c r="J30" i="14"/>
  <c r="J31" i="14"/>
  <c r="I35" i="14"/>
  <c r="I36" i="14" s="1"/>
  <c r="I37" i="14" s="1"/>
  <c r="B47" i="14" s="1"/>
  <c r="K27" i="14"/>
  <c r="K28" i="14" s="1"/>
  <c r="L26" i="14"/>
  <c r="F38" i="14"/>
  <c r="G38" i="14" s="1"/>
  <c r="H38" i="14" s="1"/>
  <c r="H35" i="12"/>
  <c r="H36" i="12"/>
  <c r="H37" i="12" s="1"/>
  <c r="B46" i="12" s="1"/>
  <c r="J27" i="12"/>
  <c r="J28" i="12" s="1"/>
  <c r="K26" i="12"/>
  <c r="I30" i="12"/>
  <c r="I31" i="12"/>
  <c r="J30" i="11"/>
  <c r="J31" i="11"/>
  <c r="H38" i="11"/>
  <c r="L26" i="11"/>
  <c r="K27" i="11"/>
  <c r="K28" i="11" s="1"/>
  <c r="I35" i="11"/>
  <c r="I36" i="11" s="1"/>
  <c r="I37" i="11" s="1"/>
  <c r="B47" i="11" s="1"/>
  <c r="I32" i="9"/>
  <c r="I34" i="9" s="1"/>
  <c r="J35" i="10"/>
  <c r="J36" i="10" s="1"/>
  <c r="J37" i="10" s="1"/>
  <c r="B48" i="10" s="1"/>
  <c r="K30" i="10"/>
  <c r="K31" i="10"/>
  <c r="K32" i="10" s="1"/>
  <c r="K34" i="10" s="1"/>
  <c r="L27" i="10"/>
  <c r="L28" i="10" s="1"/>
  <c r="F38" i="10"/>
  <c r="G38" i="10" s="1"/>
  <c r="H38" i="10" s="1"/>
  <c r="I38" i="10" s="1"/>
  <c r="J30" i="9"/>
  <c r="J31" i="9"/>
  <c r="J32" i="9" s="1"/>
  <c r="J34" i="9" s="1"/>
  <c r="K27" i="9"/>
  <c r="K28" i="9" s="1"/>
  <c r="L26" i="9"/>
  <c r="I35" i="9"/>
  <c r="I36" i="9"/>
  <c r="I37" i="9" s="1"/>
  <c r="B47" i="9" s="1"/>
  <c r="B43" i="9"/>
  <c r="E38" i="9"/>
  <c r="E38" i="8"/>
  <c r="I31" i="8"/>
  <c r="I30" i="8"/>
  <c r="I32" i="8"/>
  <c r="I34" i="8" s="1"/>
  <c r="F38" i="8"/>
  <c r="G38" i="8" s="1"/>
  <c r="J27" i="8"/>
  <c r="J28" i="8" s="1"/>
  <c r="K26" i="8"/>
  <c r="H35" i="8"/>
  <c r="H36" i="8" s="1"/>
  <c r="H37" i="8" s="1"/>
  <c r="B46" i="8" s="1"/>
  <c r="E36" i="4"/>
  <c r="E37" i="4" s="1"/>
  <c r="B43" i="4" s="1"/>
  <c r="B69" i="4"/>
  <c r="F35" i="4"/>
  <c r="F36" i="4" s="1"/>
  <c r="F37" i="4" s="1"/>
  <c r="B44" i="4" s="1"/>
  <c r="I30" i="4"/>
  <c r="I31" i="4"/>
  <c r="K26" i="4"/>
  <c r="J27" i="4"/>
  <c r="J28" i="4" s="1"/>
  <c r="G34" i="4"/>
  <c r="L3" i="17" l="1"/>
  <c r="M28" i="18"/>
  <c r="N25" i="18"/>
  <c r="K5" i="17"/>
  <c r="K7" i="17" s="1"/>
  <c r="K8" i="17" s="1"/>
  <c r="O23" i="18"/>
  <c r="P22" i="18"/>
  <c r="P21" i="18"/>
  <c r="P20" i="18"/>
  <c r="J10" i="17"/>
  <c r="J11" i="17" s="1"/>
  <c r="N29" i="18" s="1"/>
  <c r="N17" i="18"/>
  <c r="K24" i="16"/>
  <c r="K25" i="16" s="1"/>
  <c r="K31" i="16" s="1"/>
  <c r="O9" i="18"/>
  <c r="O10" i="18" s="1"/>
  <c r="O17" i="18" s="1"/>
  <c r="P24" i="18"/>
  <c r="O24" i="18"/>
  <c r="G12" i="17"/>
  <c r="J30" i="18"/>
  <c r="J32" i="14"/>
  <c r="J34" i="14" s="1"/>
  <c r="J35" i="14" s="1"/>
  <c r="J36" i="14" s="1"/>
  <c r="J37" i="14" s="1"/>
  <c r="B48" i="14" s="1"/>
  <c r="K31" i="14"/>
  <c r="K30" i="14"/>
  <c r="L27" i="14"/>
  <c r="L28" i="14" s="1"/>
  <c r="I38" i="14"/>
  <c r="I32" i="12"/>
  <c r="I34" i="12" s="1"/>
  <c r="I35" i="12" s="1"/>
  <c r="I36" i="12" s="1"/>
  <c r="I37" i="12" s="1"/>
  <c r="B47" i="12" s="1"/>
  <c r="J30" i="12"/>
  <c r="J31" i="12"/>
  <c r="L26" i="12"/>
  <c r="L27" i="12" s="1"/>
  <c r="L28" i="12" s="1"/>
  <c r="K27" i="12"/>
  <c r="K28" i="12" s="1"/>
  <c r="H38" i="12"/>
  <c r="I38" i="12" s="1"/>
  <c r="L31" i="12"/>
  <c r="L30" i="12"/>
  <c r="J32" i="11"/>
  <c r="J34" i="11" s="1"/>
  <c r="K30" i="11"/>
  <c r="K31" i="11"/>
  <c r="J35" i="11"/>
  <c r="J36" i="11" s="1"/>
  <c r="J37" i="11" s="1"/>
  <c r="B48" i="11" s="1"/>
  <c r="L27" i="11"/>
  <c r="L28" i="11" s="1"/>
  <c r="I38" i="11"/>
  <c r="K36" i="10"/>
  <c r="K37" i="10" s="1"/>
  <c r="B49" i="10" s="1"/>
  <c r="K35" i="10"/>
  <c r="L31" i="10"/>
  <c r="L30" i="10"/>
  <c r="L32" i="10" s="1"/>
  <c r="L34" i="10" s="1"/>
  <c r="J38" i="10"/>
  <c r="K30" i="9"/>
  <c r="K31" i="9"/>
  <c r="L27" i="9"/>
  <c r="L28" i="9" s="1"/>
  <c r="J35" i="9"/>
  <c r="J36" i="9" s="1"/>
  <c r="J37" i="9" s="1"/>
  <c r="B48" i="9" s="1"/>
  <c r="F38" i="9"/>
  <c r="G38" i="9" s="1"/>
  <c r="H38" i="9" s="1"/>
  <c r="I38" i="9" s="1"/>
  <c r="H38" i="8"/>
  <c r="J30" i="8"/>
  <c r="J31" i="8"/>
  <c r="I35" i="8"/>
  <c r="I36" i="8" s="1"/>
  <c r="I37" i="8" s="1"/>
  <c r="L26" i="8"/>
  <c r="K27" i="8"/>
  <c r="K28" i="8" s="1"/>
  <c r="I32" i="4"/>
  <c r="E38" i="4"/>
  <c r="F38" i="4" s="1"/>
  <c r="J31" i="4"/>
  <c r="J30" i="4"/>
  <c r="L26" i="4"/>
  <c r="K27" i="4"/>
  <c r="K28" i="4" s="1"/>
  <c r="G35" i="4"/>
  <c r="G36" i="4" s="1"/>
  <c r="G37" i="4" s="1"/>
  <c r="B45" i="4" s="1"/>
  <c r="H34" i="4"/>
  <c r="L5" i="17" l="1"/>
  <c r="L7" i="17" s="1"/>
  <c r="L8" i="17" s="1"/>
  <c r="P26" i="18" s="1"/>
  <c r="P23" i="18"/>
  <c r="P25" i="18" s="1"/>
  <c r="O25" i="18"/>
  <c r="N26" i="18"/>
  <c r="N28" i="18" s="1"/>
  <c r="O26" i="18"/>
  <c r="K30" i="18"/>
  <c r="H12" i="17"/>
  <c r="K10" i="17"/>
  <c r="K11" i="17" s="1"/>
  <c r="K32" i="14"/>
  <c r="K34" i="14" s="1"/>
  <c r="K35" i="14" s="1"/>
  <c r="K36" i="14" s="1"/>
  <c r="K37" i="14" s="1"/>
  <c r="B49" i="14" s="1"/>
  <c r="L31" i="14"/>
  <c r="L30" i="14"/>
  <c r="J38" i="14"/>
  <c r="K30" i="12"/>
  <c r="K31" i="12"/>
  <c r="L32" i="12"/>
  <c r="L34" i="12" s="1"/>
  <c r="J32" i="12"/>
  <c r="J34" i="12" s="1"/>
  <c r="L35" i="12"/>
  <c r="L36" i="12" s="1"/>
  <c r="L37" i="12" s="1"/>
  <c r="B50" i="12" s="1"/>
  <c r="K32" i="11"/>
  <c r="K34" i="11" s="1"/>
  <c r="L31" i="11"/>
  <c r="L30" i="11"/>
  <c r="L32" i="11" s="1"/>
  <c r="L34" i="11" s="1"/>
  <c r="K35" i="11"/>
  <c r="K36" i="11" s="1"/>
  <c r="K37" i="11" s="1"/>
  <c r="B49" i="11" s="1"/>
  <c r="J38" i="11"/>
  <c r="K32" i="9"/>
  <c r="K34" i="9" s="1"/>
  <c r="L35" i="10"/>
  <c r="L36" i="10" s="1"/>
  <c r="L37" i="10" s="1"/>
  <c r="B50" i="10" s="1"/>
  <c r="B53" i="10" s="1"/>
  <c r="K38" i="10"/>
  <c r="J32" i="8"/>
  <c r="J34" i="8" s="1"/>
  <c r="K35" i="9"/>
  <c r="K36" i="9" s="1"/>
  <c r="K37" i="9" s="1"/>
  <c r="B49" i="9" s="1"/>
  <c r="J38" i="9"/>
  <c r="L31" i="9"/>
  <c r="L30" i="9"/>
  <c r="L32" i="9" s="1"/>
  <c r="L34" i="9" s="1"/>
  <c r="J35" i="8"/>
  <c r="J36" i="8" s="1"/>
  <c r="J37" i="8" s="1"/>
  <c r="B48" i="8" s="1"/>
  <c r="B47" i="8"/>
  <c r="I38" i="8"/>
  <c r="L27" i="8"/>
  <c r="L28" i="8" s="1"/>
  <c r="K30" i="8"/>
  <c r="K31" i="8"/>
  <c r="K32" i="8"/>
  <c r="K34" i="8" s="1"/>
  <c r="G38" i="4"/>
  <c r="J32" i="4"/>
  <c r="H35" i="4"/>
  <c r="H36" i="4" s="1"/>
  <c r="H37" i="4" s="1"/>
  <c r="B46" i="4" s="1"/>
  <c r="K31" i="4"/>
  <c r="K30" i="4"/>
  <c r="L27" i="4"/>
  <c r="L28" i="4" s="1"/>
  <c r="I34" i="4"/>
  <c r="L10" i="17" l="1"/>
  <c r="L11" i="17" s="1"/>
  <c r="P29" i="18" s="1"/>
  <c r="P28" i="18"/>
  <c r="O28" i="18"/>
  <c r="O29" i="18"/>
  <c r="L30" i="18"/>
  <c r="I12" i="17"/>
  <c r="L32" i="14"/>
  <c r="L34" i="14" s="1"/>
  <c r="L35" i="14" s="1"/>
  <c r="L36" i="14" s="1"/>
  <c r="L37" i="14" s="1"/>
  <c r="B50" i="14" s="1"/>
  <c r="B53" i="14" s="1"/>
  <c r="K38" i="14"/>
  <c r="K32" i="12"/>
  <c r="K34" i="12" s="1"/>
  <c r="K35" i="12"/>
  <c r="K36" i="12" s="1"/>
  <c r="K37" i="12" s="1"/>
  <c r="B49" i="12" s="1"/>
  <c r="J35" i="12"/>
  <c r="J36" i="12" s="1"/>
  <c r="J37" i="12" s="1"/>
  <c r="K38" i="11"/>
  <c r="L35" i="11"/>
  <c r="L36" i="11" s="1"/>
  <c r="L37" i="11" s="1"/>
  <c r="B50" i="11" s="1"/>
  <c r="B53" i="11" s="1"/>
  <c r="L38" i="10"/>
  <c r="B55" i="10" s="1" a="1"/>
  <c r="B55" i="10" s="1"/>
  <c r="L35" i="9"/>
  <c r="L36" i="9"/>
  <c r="L37" i="9" s="1"/>
  <c r="B50" i="9" s="1"/>
  <c r="B53" i="9" s="1"/>
  <c r="K38" i="9"/>
  <c r="L31" i="8"/>
  <c r="L30" i="8"/>
  <c r="K35" i="8"/>
  <c r="K36" i="8" s="1"/>
  <c r="K37" i="8" s="1"/>
  <c r="B49" i="8" s="1"/>
  <c r="J38" i="8"/>
  <c r="H38" i="4"/>
  <c r="K32" i="4"/>
  <c r="L30" i="4"/>
  <c r="L31" i="4"/>
  <c r="I35" i="4"/>
  <c r="I36" i="4" s="1"/>
  <c r="I37" i="4" s="1"/>
  <c r="B47" i="4" s="1"/>
  <c r="J34" i="4"/>
  <c r="F36" i="18" l="1"/>
  <c r="B14" i="17"/>
  <c r="F32" i="18"/>
  <c r="M30" i="18"/>
  <c r="J12" i="17"/>
  <c r="L38" i="14"/>
  <c r="B55" i="14" s="1" a="1"/>
  <c r="B55" i="14" s="1"/>
  <c r="B48" i="12"/>
  <c r="B53" i="12" s="1"/>
  <c r="J38" i="12"/>
  <c r="K38" i="12" s="1"/>
  <c r="L38" i="12" s="1"/>
  <c r="B55" i="12" s="1" a="1"/>
  <c r="B55" i="12" s="1"/>
  <c r="L38" i="11"/>
  <c r="B55" i="11" a="1"/>
  <c r="B55" i="11" s="1"/>
  <c r="L32" i="8"/>
  <c r="L34" i="8" s="1"/>
  <c r="L38" i="9"/>
  <c r="B55" i="9" a="1"/>
  <c r="B55" i="9" s="1"/>
  <c r="K38" i="8"/>
  <c r="L35" i="8"/>
  <c r="L36" i="8"/>
  <c r="L37" i="8" s="1"/>
  <c r="B50" i="8" s="1"/>
  <c r="B53" i="8" s="1"/>
  <c r="L32" i="4"/>
  <c r="L34" i="4" s="1"/>
  <c r="I38" i="4"/>
  <c r="J35" i="4"/>
  <c r="J36" i="4" s="1"/>
  <c r="J37" i="4" s="1"/>
  <c r="B48" i="4" s="1"/>
  <c r="K34" i="4"/>
  <c r="N30" i="18" l="1"/>
  <c r="K12" i="17"/>
  <c r="L38" i="8"/>
  <c r="B55" i="8" s="1" a="1"/>
  <c r="B55" i="8" s="1"/>
  <c r="J38" i="4"/>
  <c r="K35" i="4"/>
  <c r="K36" i="4" s="1"/>
  <c r="K37" i="4" s="1"/>
  <c r="B49" i="4" s="1"/>
  <c r="L35" i="4"/>
  <c r="L36" i="4" s="1"/>
  <c r="L37" i="4" s="1"/>
  <c r="B50" i="4" s="1"/>
  <c r="L12" i="17" l="1"/>
  <c r="O30" i="18"/>
  <c r="K38" i="4"/>
  <c r="B53" i="4"/>
  <c r="P30" i="18" l="1"/>
  <c r="F34" i="18" s="1" a="1"/>
  <c r="F34" i="18" s="1"/>
  <c r="B16" i="17" a="1"/>
  <c r="B16" i="17" s="1"/>
  <c r="L38" i="4"/>
  <c r="B55" i="4" a="1"/>
  <c r="B5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KNS HP 11</author>
  </authors>
  <commentList>
    <comment ref="B11" authorId="0" shapeId="0" xr:uid="{7FDEE2F2-DE5F-4195-96D2-2907F39A9AF4}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Assuming 50,000 is the cost per set of amenities.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KNS HP 11</author>
  </authors>
  <commentList>
    <comment ref="A4" authorId="0" shapeId="0" xr:uid="{146B7453-4062-4ACF-B441-03A6027B87EF}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Assuming 50% of the sales will come from ATO. Also considering their 20% platform commission</t>
        </r>
      </text>
    </comment>
    <comment ref="B11" authorId="0" shapeId="0" xr:uid="{1EE0B1C5-0861-4B7C-870F-7E02A2A3CD63}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The reason this is 3.6M and not 6M is because we are assuming 60% equity and 40% loan. The remaining 2.4M will be sourced by taking a loan @ 8% interest amortized for 10 years. See next sheet for details on the loan repayment structure.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KNS HP 11</author>
  </authors>
  <commentList>
    <comment ref="E6" authorId="0" shapeId="0" xr:uid="{A43C01F3-14A1-4AE5-8615-25185C78344F}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4 securities, each security will work 8 hour shifts, so we realistically need 3, but will keep 1 extra in case one security calls in sick.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<sst xmlns="http://schemas.openxmlformats.org/spreadsheetml/2006/main" count="843" uniqueCount="206">
  <si>
    <t>Category</t>
  </si>
  <si>
    <t>Deal Period Total</t>
  </si>
  <si>
    <t>Monthly Avg.</t>
  </si>
  <si>
    <t>% of Gross Rev</t>
  </si>
  <si>
    <t>Total Revenue</t>
  </si>
  <si>
    <t>Cove Platform Fee</t>
  </si>
  <si>
    <t>OTA Cost</t>
  </si>
  <si>
    <t>Net Revenue</t>
  </si>
  <si>
    <t>OPEX</t>
  </si>
  <si>
    <t>Gross Operating Profit</t>
  </si>
  <si>
    <t>Cove Incentive Fee</t>
  </si>
  <si>
    <t>Net Operating Profit</t>
  </si>
  <si>
    <t>Owner Share</t>
  </si>
  <si>
    <t>100.0%</t>
  </si>
  <si>
    <t>2.5%</t>
  </si>
  <si>
    <t>9.3%</t>
  </si>
  <si>
    <t>88.2%</t>
  </si>
  <si>
    <t>29.6%</t>
  </si>
  <si>
    <t>58.6%</t>
  </si>
  <si>
    <t>10.6%</t>
  </si>
  <si>
    <t>48.0%</t>
  </si>
  <si>
    <t>48.2%</t>
  </si>
  <si>
    <t>17.18%</t>
  </si>
  <si>
    <t>2nd Year Yield-on-Cost Ratio</t>
  </si>
  <si>
    <t>5.75 Years</t>
  </si>
  <si>
    <t>Payback period</t>
  </si>
  <si>
    <t>12.70%</t>
  </si>
  <si>
    <t>Project Unlevered IRR</t>
  </si>
  <si>
    <t>Value</t>
  </si>
  <si>
    <t>Metric</t>
  </si>
  <si>
    <t>Y10</t>
  </si>
  <si>
    <t>Y9</t>
  </si>
  <si>
    <t>Y8</t>
  </si>
  <si>
    <t>Y7</t>
  </si>
  <si>
    <t>Y6</t>
  </si>
  <si>
    <t>Y5</t>
  </si>
  <si>
    <t>Y4</t>
  </si>
  <si>
    <t>Y3</t>
  </si>
  <si>
    <t>Y2</t>
  </si>
  <si>
    <t>Y1</t>
  </si>
  <si>
    <t>Y0</t>
  </si>
  <si>
    <t>Net Cash Flow</t>
  </si>
  <si>
    <t>Project Cash Flow</t>
  </si>
  <si>
    <t>Owner NOI</t>
  </si>
  <si>
    <t>Landlord Investment</t>
  </si>
  <si>
    <t>Project Assumptions</t>
  </si>
  <si>
    <t>Investment</t>
  </si>
  <si>
    <t>Initial Investment (Landlord)</t>
  </si>
  <si>
    <t>Operations</t>
  </si>
  <si>
    <t>Number of Rooms</t>
  </si>
  <si>
    <t>Average Monthly Rent per Room</t>
  </si>
  <si>
    <t>Growth &amp; Inflation</t>
  </si>
  <si>
    <t>Annual Rent Growth</t>
  </si>
  <si>
    <t>Annual OPEX Growth</t>
  </si>
  <si>
    <t>Occupancy Ramp-Up</t>
  </si>
  <si>
    <t>Year 1 Occupancy</t>
  </si>
  <si>
    <t>Stabilized Occupancy (Y2+)</t>
  </si>
  <si>
    <t>Fees &amp; Costs (% of Total Revenue)</t>
  </si>
  <si>
    <t>OPEX (% of Net Revenue)</t>
  </si>
  <si>
    <t>Cove Incentive Fee (% of GOP)</t>
  </si>
  <si>
    <t>Revenue</t>
  </si>
  <si>
    <t>Gross Potential Rent</t>
  </si>
  <si>
    <t>Vacancy Loss</t>
  </si>
  <si>
    <t>Deductions</t>
  </si>
  <si>
    <t>Operating Expenses (OPEX)</t>
  </si>
  <si>
    <t>Gross Operating Profit (GOP)</t>
  </si>
  <si>
    <t>Owner Share (NOI)</t>
  </si>
  <si>
    <t>Year 0</t>
  </si>
  <si>
    <t>Year 1</t>
  </si>
  <si>
    <t>Year 10</t>
  </si>
  <si>
    <t>Returns Summary</t>
  </si>
  <si>
    <t>2nd Year Yield-on-Cost</t>
  </si>
  <si>
    <t>Payback Period (Years)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</si>
  <si>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</si>
  <si>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</si>
  <si>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</si>
  <si>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</si>
  <si>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</si>
  <si>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</si>
  <si>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</si>
  <si>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</si>
  <si>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Line Item</t>
  </si>
  <si>
    <t>Cumulative Cash Flow</t>
  </si>
  <si>
    <t>Cash Flow for IRR</t>
  </si>
  <si>
    <t>Values</t>
  </si>
  <si>
    <t>Vacancy loss</t>
  </si>
  <si>
    <t>Booking fees</t>
  </si>
  <si>
    <t>Operational Expenses (OPEX)</t>
  </si>
  <si>
    <t>Cove Management Fee</t>
  </si>
  <si>
    <t>Sensitivity Analysis</t>
  </si>
  <si>
    <t>Base Case IRR</t>
  </si>
  <si>
    <t>Higher Investment Cost Scenario (10% increase)</t>
  </si>
  <si>
    <t>Lower Occupancy Scenario (87%)</t>
  </si>
  <si>
    <t>Lower Rent Scenario (200 thou lower monthly rent)</t>
  </si>
  <si>
    <t>Occupancy Break-Even</t>
  </si>
  <si>
    <t>Break even no of rooms</t>
  </si>
  <si>
    <t>Break even occupancy %</t>
  </si>
  <si>
    <t>Project Cost Breakdown</t>
  </si>
  <si>
    <t>In case occupancy drops to 87%</t>
  </si>
  <si>
    <t>Reasoning</t>
  </si>
  <si>
    <t>If we can't charge as per planned, this is a scenario where we reduced the rate by 200 thousand per month</t>
  </si>
  <si>
    <t>Lower Occupancy Scenario (60%)</t>
  </si>
  <si>
    <t>In case occupancy drops to 60%</t>
  </si>
  <si>
    <t>If construction costs exceed our estimation by 10%</t>
  </si>
  <si>
    <t>The most likely outcome, occupancy rate as per Cove's data (92% Occupany)</t>
  </si>
  <si>
    <t>If we can't charge as per planned, this is a scenario where we reduced the rate by 350 thousand per month</t>
  </si>
  <si>
    <t>Lower Rent Scenario (350 thou lower monthly rent)</t>
  </si>
  <si>
    <t>We need to rent 18 rooms in order to cover all the monthly costs</t>
  </si>
  <si>
    <t>19 rooms @ 85%</t>
  </si>
  <si>
    <t>19 rooms daily rate at 350k @65%</t>
  </si>
  <si>
    <t>Initial Investment</t>
  </si>
  <si>
    <t>Superior + Montly rate</t>
  </si>
  <si>
    <t>Superior + Daily rate</t>
  </si>
  <si>
    <t>Deluxe Monthly Rate</t>
  </si>
  <si>
    <t>Deluxe Daily Rate</t>
  </si>
  <si>
    <t>Splits of Stays (Monthly)</t>
  </si>
  <si>
    <t>Splits of Stays (Daily)</t>
  </si>
  <si>
    <t>Stabilized Occupancy (Monthly)</t>
  </si>
  <si>
    <t>Stabilized Occupancy (Daily)</t>
  </si>
  <si>
    <t xml:space="preserve">Monthly Stays via Cove </t>
  </si>
  <si>
    <t>Daily stays via Cove</t>
  </si>
  <si>
    <t xml:space="preserve">Daily Stays via OTA </t>
  </si>
  <si>
    <t>OTA Cost %</t>
  </si>
  <si>
    <t>Cove Platform Fee %</t>
  </si>
  <si>
    <t>Cove Incentive Fee %</t>
  </si>
  <si>
    <t>Biannual Rent Increment</t>
  </si>
  <si>
    <t>Annual OPEX Increment</t>
  </si>
  <si>
    <t>Cost Item</t>
  </si>
  <si>
    <t>Building Electricity</t>
  </si>
  <si>
    <t>Subscriptions</t>
  </si>
  <si>
    <t>AC Servicing</t>
  </si>
  <si>
    <t>MEP Maintenance</t>
  </si>
  <si>
    <t>Neighborhood Fees</t>
  </si>
  <si>
    <t>Handyman Service Costs</t>
  </si>
  <si>
    <t>Payroll</t>
  </si>
  <si>
    <t>Fixed Costs - Subtotal</t>
  </si>
  <si>
    <t>Water Bill</t>
  </si>
  <si>
    <t>STS Amenities</t>
  </si>
  <si>
    <t>Cleaning</t>
  </si>
  <si>
    <t xml:space="preserve">Variable Costs - Subtotal </t>
  </si>
  <si>
    <t>Total Operating Expenses</t>
  </si>
  <si>
    <t>2nd Year Yield-On-Cost</t>
  </si>
  <si>
    <t>Project Kemang Cove Feasibility based on new data</t>
  </si>
  <si>
    <t>Monthly Expenses</t>
  </si>
  <si>
    <t>Risk free Rate (Rf)</t>
  </si>
  <si>
    <t>Market Return (Rm)</t>
  </si>
  <si>
    <t xml:space="preserve">Beta </t>
  </si>
  <si>
    <t>Cost of debt (Rd)</t>
  </si>
  <si>
    <t>Tax Rate</t>
  </si>
  <si>
    <t>Equity Value</t>
  </si>
  <si>
    <t>Debt Value</t>
  </si>
  <si>
    <t>WACC</t>
  </si>
  <si>
    <t>Total loan amt</t>
  </si>
  <si>
    <t>How is the loan repayment structure?</t>
  </si>
  <si>
    <t>is it amortized (principle + interest) or we need to pay a lump sum at the end</t>
  </si>
  <si>
    <t>Loan Details</t>
  </si>
  <si>
    <t>Interest rate</t>
  </si>
  <si>
    <t>Tenure</t>
  </si>
  <si>
    <t>Repayment type</t>
  </si>
  <si>
    <t>Equal annual installments (principle + interest)</t>
  </si>
  <si>
    <t>Year</t>
  </si>
  <si>
    <t>Opening balance</t>
  </si>
  <si>
    <t>Annual Installment</t>
  </si>
  <si>
    <t>Interest (8%)</t>
  </si>
  <si>
    <t>Principle Repaid</t>
  </si>
  <si>
    <t>Closing Balance</t>
  </si>
  <si>
    <t>PMT</t>
  </si>
  <si>
    <t>Particulars</t>
  </si>
  <si>
    <t>Interest Expense</t>
  </si>
  <si>
    <t>Loan payable</t>
  </si>
  <si>
    <t>Dr</t>
  </si>
  <si>
    <t>Cr</t>
  </si>
  <si>
    <t>Cash</t>
  </si>
  <si>
    <t>IPMT</t>
  </si>
  <si>
    <t>Outflow simulation per year</t>
  </si>
  <si>
    <t>Loan repayment - (Interest + principle)</t>
  </si>
  <si>
    <t>Answer: 8% through 10 years, while repaying principle as well</t>
  </si>
  <si>
    <t>We are assuming 50% of sales will come from online booking platforms such as agoda, traveloka, etc.</t>
  </si>
  <si>
    <t>Premium 1 Rooms (26.4 sqm - 2 units)</t>
  </si>
  <si>
    <t>Standard Rooms (16.5 sqm - 31 units)</t>
  </si>
  <si>
    <t>Premium 2 Rooms (22.4 sqm - 4 units)</t>
  </si>
  <si>
    <t>Premium 1 Montly rate</t>
  </si>
  <si>
    <t>Premium 1 Daily rate</t>
  </si>
  <si>
    <t>Premium 2 Monthly rate</t>
  </si>
  <si>
    <t>Premium 2 Daily rate</t>
  </si>
  <si>
    <t>Deluxe Rooms (20.4 sqm - 3 units)</t>
  </si>
  <si>
    <t>Total Rooms</t>
  </si>
  <si>
    <t>Annual Salary Increment</t>
  </si>
  <si>
    <t>Subscriptions (Wifi, etc…)</t>
  </si>
  <si>
    <t>Website Management</t>
  </si>
  <si>
    <t>Yearly Expenses</t>
  </si>
  <si>
    <t>Salary Details</t>
  </si>
  <si>
    <t>Manager</t>
  </si>
  <si>
    <t>Amt</t>
  </si>
  <si>
    <t>Security</t>
  </si>
  <si>
    <t>Housekeeping</t>
  </si>
  <si>
    <t>Salary</t>
  </si>
  <si>
    <t>Total</t>
  </si>
  <si>
    <t>Receptionist</t>
  </si>
  <si>
    <t>Cost of equity (Ke)</t>
  </si>
  <si>
    <t>(principal + interest) on loan</t>
  </si>
  <si>
    <t>Equity cash flow after debt</t>
  </si>
  <si>
    <t>Equity cash flow</t>
  </si>
  <si>
    <t>Equity IRR (levered)</t>
  </si>
  <si>
    <t>Equity NPV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</si>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</sst>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0\ &quot;Years&quot;"/>
    <numFmt numFmtId="166" formatCode="0\ &quot;rooms&quot;"/>
    <numFmt numFmtId="167" formatCode="0.00\ &quot;Years&quot;"/>
    <numFmt numFmtId="168" formatCode="0.0%"/>
    <numFmt numFmtId="169" formatCode="0\ &quot;years&quot;"/>
    <numFmt numFmtId="170" formatCode="_-[$Rp-3809]* #,##0_-;\-[$Rp-3809]* #,##0_-;_-[$Rp-3809]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i/>
      <u/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i/>
      <sz val="11"/>
      <color theme="1"/>
      <name val="Aptos Narrow"/>
      <family val="2"/>
    </font>
    <font>
      <i/>
      <sz val="11"/>
      <color theme="1"/>
      <name val="Calibri"/>
      <family val="2"/>
      <scheme val="minor"/>
    </font>
    <font>
      <b/>
      <i/>
      <sz val="10"/>
      <color theme="1"/>
      <name val="Aptos Narrow"/>
      <family val="2"/>
    </font>
    <font>
      <b/>
      <sz val="10"/>
      <color theme="0"/>
      <name val="Aptos Narrow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Aptos Narrow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 val="singleAccounting"/>
      <sz val="11"/>
      <color theme="1"/>
      <name val="Calibri"/>
      <family val="2"/>
      <scheme val="minor"/>
    </font>
    <font>
      <i/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89">
    <xf numFmtId="0" fontId="0" fillId="0" borderId="0" xfId="0"/>
    <xf numFmtId="10" fontId="0" fillId="0" borderId="0" xfId="2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0" borderId="1" xfId="0" applyBorder="1"/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164" fontId="0" fillId="0" borderId="0" xfId="1" applyNumberFormat="1" applyFont="1" applyBorder="1"/>
    <xf numFmtId="0" fontId="4" fillId="0" borderId="0" xfId="0" applyFont="1" applyAlignment="1">
      <alignment horizontal="center" vertical="top"/>
    </xf>
    <xf numFmtId="164" fontId="0" fillId="0" borderId="1" xfId="1" applyNumberFormat="1" applyFont="1" applyBorder="1" applyAlignment="1">
      <alignment vertical="center"/>
    </xf>
    <xf numFmtId="0" fontId="8" fillId="0" borderId="0" xfId="0" applyFont="1" applyAlignment="1">
      <alignment wrapText="1"/>
    </xf>
    <xf numFmtId="0" fontId="8" fillId="4" borderId="0" xfId="0" applyFont="1" applyFill="1" applyAlignment="1">
      <alignment wrapText="1"/>
    </xf>
    <xf numFmtId="0" fontId="9" fillId="4" borderId="0" xfId="0" applyFont="1" applyFill="1"/>
    <xf numFmtId="0" fontId="9" fillId="4" borderId="0" xfId="0" applyFont="1" applyFill="1" applyAlignment="1">
      <alignment wrapText="1"/>
    </xf>
    <xf numFmtId="0" fontId="9" fillId="4" borderId="5" xfId="0" applyFont="1" applyFill="1" applyBorder="1"/>
    <xf numFmtId="164" fontId="9" fillId="4" borderId="0" xfId="1" applyNumberFormat="1" applyFont="1" applyFill="1" applyBorder="1"/>
    <xf numFmtId="3" fontId="9" fillId="4" borderId="0" xfId="0" applyNumberFormat="1" applyFont="1" applyFill="1"/>
    <xf numFmtId="43" fontId="9" fillId="5" borderId="5" xfId="0" applyNumberFormat="1" applyFont="1" applyFill="1" applyBorder="1"/>
    <xf numFmtId="43" fontId="9" fillId="5" borderId="8" xfId="0" applyNumberFormat="1" applyFont="1" applyFill="1" applyBorder="1"/>
    <xf numFmtId="10" fontId="9" fillId="3" borderId="5" xfId="0" applyNumberFormat="1" applyFont="1" applyFill="1" applyBorder="1"/>
    <xf numFmtId="10" fontId="9" fillId="3" borderId="5" xfId="2" applyNumberFormat="1" applyFont="1" applyFill="1" applyBorder="1"/>
    <xf numFmtId="165" fontId="9" fillId="3" borderId="8" xfId="0" applyNumberFormat="1" applyFont="1" applyFill="1" applyBorder="1"/>
    <xf numFmtId="0" fontId="8" fillId="4" borderId="5" xfId="0" applyFont="1" applyFill="1" applyBorder="1" applyAlignment="1">
      <alignment wrapText="1"/>
    </xf>
    <xf numFmtId="3" fontId="8" fillId="4" borderId="5" xfId="0" applyNumberFormat="1" applyFont="1" applyFill="1" applyBorder="1" applyAlignment="1">
      <alignment horizontal="right" wrapText="1"/>
    </xf>
    <xf numFmtId="0" fontId="8" fillId="4" borderId="5" xfId="0" applyFont="1" applyFill="1" applyBorder="1" applyAlignment="1">
      <alignment horizontal="right" wrapText="1"/>
    </xf>
    <xf numFmtId="10" fontId="8" fillId="4" borderId="5" xfId="0" applyNumberFormat="1" applyFont="1" applyFill="1" applyBorder="1" applyAlignment="1">
      <alignment horizontal="right" wrapText="1"/>
    </xf>
    <xf numFmtId="0" fontId="8" fillId="4" borderId="7" xfId="0" applyFont="1" applyFill="1" applyBorder="1" applyAlignment="1">
      <alignment wrapText="1"/>
    </xf>
    <xf numFmtId="10" fontId="8" fillId="4" borderId="8" xfId="0" applyNumberFormat="1" applyFont="1" applyFill="1" applyBorder="1" applyAlignment="1">
      <alignment horizontal="right" wrapText="1"/>
    </xf>
    <xf numFmtId="0" fontId="7" fillId="3" borderId="10" xfId="0" applyFont="1" applyFill="1" applyBorder="1" applyAlignment="1">
      <alignment horizont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wrapText="1"/>
    </xf>
    <xf numFmtId="0" fontId="7" fillId="4" borderId="12" xfId="0" applyFont="1" applyFill="1" applyBorder="1" applyAlignment="1">
      <alignment wrapText="1"/>
    </xf>
    <xf numFmtId="0" fontId="8" fillId="4" borderId="13" xfId="0" applyFont="1" applyFill="1" applyBorder="1" applyAlignment="1">
      <alignment wrapText="1"/>
    </xf>
    <xf numFmtId="0" fontId="7" fillId="4" borderId="13" xfId="0" applyFont="1" applyFill="1" applyBorder="1" applyAlignment="1">
      <alignment wrapText="1"/>
    </xf>
    <xf numFmtId="0" fontId="7" fillId="4" borderId="13" xfId="0" applyFont="1" applyFill="1" applyBorder="1" applyAlignment="1">
      <alignment vertical="center"/>
    </xf>
    <xf numFmtId="0" fontId="7" fillId="4" borderId="14" xfId="0" applyFont="1" applyFill="1" applyBorder="1" applyAlignment="1">
      <alignment vertical="center"/>
    </xf>
    <xf numFmtId="0" fontId="8" fillId="4" borderId="10" xfId="0" applyFont="1" applyFill="1" applyBorder="1" applyAlignment="1">
      <alignment wrapText="1"/>
    </xf>
    <xf numFmtId="0" fontId="10" fillId="4" borderId="12" xfId="0" applyFont="1" applyFill="1" applyBorder="1" applyAlignment="1">
      <alignment wrapText="1"/>
    </xf>
    <xf numFmtId="0" fontId="8" fillId="4" borderId="13" xfId="0" applyFont="1" applyFill="1" applyBorder="1" applyAlignment="1">
      <alignment vertical="center"/>
    </xf>
    <xf numFmtId="0" fontId="10" fillId="4" borderId="13" xfId="0" applyFont="1" applyFill="1" applyBorder="1" applyAlignment="1">
      <alignment wrapText="1"/>
    </xf>
    <xf numFmtId="0" fontId="10" fillId="4" borderId="13" xfId="0" applyFont="1" applyFill="1" applyBorder="1" applyAlignment="1">
      <alignment vertical="center"/>
    </xf>
    <xf numFmtId="0" fontId="8" fillId="4" borderId="14" xfId="0" applyFont="1" applyFill="1" applyBorder="1" applyAlignment="1">
      <alignment vertical="center"/>
    </xf>
    <xf numFmtId="0" fontId="8" fillId="5" borderId="13" xfId="0" applyFont="1" applyFill="1" applyBorder="1" applyAlignment="1">
      <alignment wrapText="1"/>
    </xf>
    <xf numFmtId="0" fontId="8" fillId="5" borderId="14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  <xf numFmtId="0" fontId="8" fillId="3" borderId="13" xfId="0" applyFont="1" applyFill="1" applyBorder="1" applyAlignment="1">
      <alignment wrapText="1"/>
    </xf>
    <xf numFmtId="0" fontId="8" fillId="3" borderId="14" xfId="0" applyFont="1" applyFill="1" applyBorder="1" applyAlignment="1">
      <alignment wrapText="1"/>
    </xf>
    <xf numFmtId="0" fontId="11" fillId="5" borderId="1" xfId="0" applyFont="1" applyFill="1" applyBorder="1"/>
    <xf numFmtId="0" fontId="7" fillId="3" borderId="1" xfId="0" applyFont="1" applyFill="1" applyBorder="1" applyAlignment="1">
      <alignment wrapText="1"/>
    </xf>
    <xf numFmtId="3" fontId="12" fillId="5" borderId="11" xfId="0" applyNumberFormat="1" applyFont="1" applyFill="1" applyBorder="1"/>
    <xf numFmtId="0" fontId="9" fillId="6" borderId="0" xfId="0" applyFont="1" applyFill="1"/>
    <xf numFmtId="0" fontId="8" fillId="6" borderId="0" xfId="0" applyFont="1" applyFill="1" applyAlignment="1">
      <alignment vertical="center"/>
    </xf>
    <xf numFmtId="0" fontId="8" fillId="6" borderId="0" xfId="0" applyFont="1" applyFill="1" applyAlignment="1">
      <alignment wrapText="1"/>
    </xf>
    <xf numFmtId="10" fontId="8" fillId="6" borderId="0" xfId="0" applyNumberFormat="1" applyFont="1" applyFill="1" applyAlignment="1">
      <alignment horizontal="right" wrapText="1"/>
    </xf>
    <xf numFmtId="0" fontId="7" fillId="6" borderId="4" xfId="0" applyFont="1" applyFill="1" applyBorder="1" applyAlignment="1">
      <alignment vertical="center"/>
    </xf>
    <xf numFmtId="3" fontId="8" fillId="6" borderId="0" xfId="0" applyNumberFormat="1" applyFont="1" applyFill="1" applyAlignment="1">
      <alignment wrapText="1"/>
    </xf>
    <xf numFmtId="43" fontId="9" fillId="6" borderId="0" xfId="1" applyFont="1" applyFill="1" applyBorder="1"/>
    <xf numFmtId="43" fontId="9" fillId="6" borderId="0" xfId="0" applyNumberFormat="1" applyFont="1" applyFill="1"/>
    <xf numFmtId="0" fontId="8" fillId="6" borderId="0" xfId="0" applyFont="1" applyFill="1" applyAlignment="1">
      <alignment horizontal="right" wrapText="1"/>
    </xf>
    <xf numFmtId="0" fontId="9" fillId="6" borderId="0" xfId="0" applyFont="1" applyFill="1" applyAlignment="1">
      <alignment wrapText="1"/>
    </xf>
    <xf numFmtId="164" fontId="8" fillId="4" borderId="0" xfId="1" applyNumberFormat="1" applyFont="1" applyFill="1" applyBorder="1" applyAlignment="1">
      <alignment wrapText="1"/>
    </xf>
    <xf numFmtId="164" fontId="8" fillId="4" borderId="0" xfId="1" applyNumberFormat="1" applyFont="1" applyFill="1" applyBorder="1"/>
    <xf numFmtId="164" fontId="9" fillId="4" borderId="7" xfId="1" applyNumberFormat="1" applyFont="1" applyFill="1" applyBorder="1"/>
    <xf numFmtId="164" fontId="8" fillId="4" borderId="5" xfId="1" applyNumberFormat="1" applyFont="1" applyFill="1" applyBorder="1"/>
    <xf numFmtId="164" fontId="9" fillId="4" borderId="5" xfId="1" applyNumberFormat="1" applyFont="1" applyFill="1" applyBorder="1"/>
    <xf numFmtId="164" fontId="9" fillId="4" borderId="0" xfId="1" applyNumberFormat="1" applyFont="1" applyFill="1" applyBorder="1" applyAlignment="1">
      <alignment wrapText="1"/>
    </xf>
    <xf numFmtId="164" fontId="9" fillId="4" borderId="5" xfId="1" applyNumberFormat="1" applyFont="1" applyFill="1" applyBorder="1" applyAlignment="1">
      <alignment wrapText="1"/>
    </xf>
    <xf numFmtId="164" fontId="9" fillId="7" borderId="7" xfId="1" applyNumberFormat="1" applyFont="1" applyFill="1" applyBorder="1"/>
    <xf numFmtId="164" fontId="9" fillId="4" borderId="8" xfId="1" applyNumberFormat="1" applyFont="1" applyFill="1" applyBorder="1"/>
    <xf numFmtId="3" fontId="9" fillId="4" borderId="7" xfId="0" applyNumberFormat="1" applyFont="1" applyFill="1" applyBorder="1" applyAlignment="1">
      <alignment wrapText="1"/>
    </xf>
    <xf numFmtId="0" fontId="9" fillId="6" borderId="0" xfId="0" applyFont="1" applyFill="1" applyAlignment="1">
      <alignment vertical="center"/>
    </xf>
    <xf numFmtId="0" fontId="9" fillId="6" borderId="4" xfId="0" applyFont="1" applyFill="1" applyBorder="1" applyAlignment="1">
      <alignment wrapText="1"/>
    </xf>
    <xf numFmtId="0" fontId="9" fillId="6" borderId="6" xfId="0" applyFont="1" applyFill="1" applyBorder="1" applyAlignment="1">
      <alignment wrapText="1"/>
    </xf>
    <xf numFmtId="0" fontId="9" fillId="0" borderId="1" xfId="0" applyFont="1" applyBorder="1" applyAlignment="1">
      <alignment vertical="center" wrapText="1"/>
    </xf>
    <xf numFmtId="9" fontId="9" fillId="6" borderId="8" xfId="2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/>
    </xf>
    <xf numFmtId="3" fontId="9" fillId="6" borderId="0" xfId="0" applyNumberFormat="1" applyFont="1" applyFill="1"/>
    <xf numFmtId="10" fontId="9" fillId="6" borderId="0" xfId="0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166" fontId="9" fillId="6" borderId="5" xfId="0" applyNumberFormat="1" applyFont="1" applyFill="1" applyBorder="1" applyAlignment="1">
      <alignment vertical="center"/>
    </xf>
    <xf numFmtId="0" fontId="9" fillId="6" borderId="0" xfId="0" applyFont="1" applyFill="1" applyAlignment="1">
      <alignment horizontal="left"/>
    </xf>
    <xf numFmtId="0" fontId="11" fillId="4" borderId="1" xfId="0" applyFont="1" applyFill="1" applyBorder="1" applyAlignment="1">
      <alignment vertical="center"/>
    </xf>
    <xf numFmtId="0" fontId="11" fillId="4" borderId="1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43" fontId="9" fillId="4" borderId="3" xfId="1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43" fontId="9" fillId="4" borderId="5" xfId="1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43" fontId="9" fillId="4" borderId="8" xfId="1" applyFont="1" applyFill="1" applyBorder="1" applyAlignment="1">
      <alignment vertical="center"/>
    </xf>
    <xf numFmtId="167" fontId="9" fillId="3" borderId="8" xfId="0" applyNumberFormat="1" applyFont="1" applyFill="1" applyBorder="1"/>
    <xf numFmtId="9" fontId="0" fillId="0" borderId="0" xfId="2" applyFont="1"/>
    <xf numFmtId="0" fontId="13" fillId="6" borderId="4" xfId="0" applyFont="1" applyFill="1" applyBorder="1"/>
    <xf numFmtId="164" fontId="0" fillId="6" borderId="0" xfId="1" applyNumberFormat="1" applyFont="1" applyFill="1" applyBorder="1"/>
    <xf numFmtId="164" fontId="0" fillId="6" borderId="5" xfId="1" applyNumberFormat="1" applyFont="1" applyFill="1" applyBorder="1"/>
    <xf numFmtId="0" fontId="13" fillId="6" borderId="6" xfId="0" applyFont="1" applyFill="1" applyBorder="1"/>
    <xf numFmtId="164" fontId="0" fillId="6" borderId="7" xfId="1" applyNumberFormat="1" applyFont="1" applyFill="1" applyBorder="1"/>
    <xf numFmtId="164" fontId="0" fillId="6" borderId="8" xfId="1" applyNumberFormat="1" applyFont="1" applyFill="1" applyBorder="1"/>
    <xf numFmtId="164" fontId="0" fillId="6" borderId="15" xfId="0" applyNumberFormat="1" applyFill="1" applyBorder="1"/>
    <xf numFmtId="164" fontId="0" fillId="6" borderId="17" xfId="0" applyNumberFormat="1" applyFill="1" applyBorder="1"/>
    <xf numFmtId="164" fontId="0" fillId="6" borderId="7" xfId="0" applyNumberFormat="1" applyFill="1" applyBorder="1"/>
    <xf numFmtId="164" fontId="0" fillId="6" borderId="8" xfId="0" applyNumberFormat="1" applyFill="1" applyBorder="1"/>
    <xf numFmtId="0" fontId="13" fillId="6" borderId="18" xfId="0" applyFont="1" applyFill="1" applyBorder="1"/>
    <xf numFmtId="0" fontId="13" fillId="6" borderId="13" xfId="0" applyFont="1" applyFill="1" applyBorder="1"/>
    <xf numFmtId="0" fontId="13" fillId="6" borderId="14" xfId="0" applyFont="1" applyFill="1" applyBorder="1"/>
    <xf numFmtId="0" fontId="1" fillId="6" borderId="13" xfId="0" applyFont="1" applyFill="1" applyBorder="1"/>
    <xf numFmtId="0" fontId="1" fillId="6" borderId="19" xfId="0" applyFont="1" applyFill="1" applyBorder="1"/>
    <xf numFmtId="0" fontId="1" fillId="6" borderId="14" xfId="0" applyFont="1" applyFill="1" applyBorder="1"/>
    <xf numFmtId="0" fontId="3" fillId="2" borderId="16" xfId="0" applyFont="1" applyFill="1" applyBorder="1"/>
    <xf numFmtId="0" fontId="3" fillId="2" borderId="15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5" fillId="2" borderId="1" xfId="0" applyFont="1" applyFill="1" applyBorder="1" applyAlignment="1">
      <alignment wrapText="1"/>
    </xf>
    <xf numFmtId="0" fontId="15" fillId="2" borderId="10" xfId="0" applyFont="1" applyFill="1" applyBorder="1" applyAlignment="1">
      <alignment horizontal="center" wrapText="1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wrapText="1"/>
    </xf>
    <xf numFmtId="164" fontId="0" fillId="4" borderId="5" xfId="1" applyNumberFormat="1" applyFont="1" applyFill="1" applyBorder="1"/>
    <xf numFmtId="0" fontId="14" fillId="6" borderId="13" xfId="0" applyFont="1" applyFill="1" applyBorder="1" applyAlignment="1">
      <alignment wrapText="1"/>
    </xf>
    <xf numFmtId="164" fontId="9" fillId="6" borderId="0" xfId="1" applyNumberFormat="1" applyFont="1" applyFill="1"/>
    <xf numFmtId="164" fontId="0" fillId="6" borderId="0" xfId="1" applyNumberFormat="1" applyFont="1" applyFill="1"/>
    <xf numFmtId="164" fontId="8" fillId="6" borderId="3" xfId="1" applyNumberFormat="1" applyFont="1" applyFill="1" applyBorder="1" applyAlignment="1">
      <alignment wrapText="1"/>
    </xf>
    <xf numFmtId="0" fontId="8" fillId="6" borderId="13" xfId="0" applyFont="1" applyFill="1" applyBorder="1" applyAlignment="1">
      <alignment wrapText="1"/>
    </xf>
    <xf numFmtId="0" fontId="8" fillId="6" borderId="13" xfId="0" applyFont="1" applyFill="1" applyBorder="1"/>
    <xf numFmtId="0" fontId="14" fillId="6" borderId="13" xfId="0" applyFont="1" applyFill="1" applyBorder="1" applyAlignment="1">
      <alignment vertical="center"/>
    </xf>
    <xf numFmtId="164" fontId="9" fillId="6" borderId="0" xfId="1" applyNumberFormat="1" applyFont="1" applyFill="1" applyBorder="1"/>
    <xf numFmtId="164" fontId="9" fillId="6" borderId="5" xfId="1" applyNumberFormat="1" applyFont="1" applyFill="1" applyBorder="1"/>
    <xf numFmtId="0" fontId="14" fillId="6" borderId="14" xfId="0" applyFont="1" applyFill="1" applyBorder="1" applyAlignment="1">
      <alignment vertical="center"/>
    </xf>
    <xf numFmtId="164" fontId="9" fillId="6" borderId="7" xfId="1" applyNumberFormat="1" applyFont="1" applyFill="1" applyBorder="1" applyAlignment="1">
      <alignment wrapText="1"/>
    </xf>
    <xf numFmtId="164" fontId="9" fillId="6" borderId="7" xfId="1" applyNumberFormat="1" applyFont="1" applyFill="1" applyBorder="1"/>
    <xf numFmtId="164" fontId="9" fillId="6" borderId="8" xfId="1" applyNumberFormat="1" applyFont="1" applyFill="1" applyBorder="1"/>
    <xf numFmtId="0" fontId="0" fillId="6" borderId="0" xfId="0" applyFill="1"/>
    <xf numFmtId="164" fontId="0" fillId="4" borderId="20" xfId="1" applyNumberFormat="1" applyFont="1" applyFill="1" applyBorder="1"/>
    <xf numFmtId="164" fontId="0" fillId="4" borderId="3" xfId="1" applyNumberFormat="1" applyFont="1" applyFill="1" applyBorder="1"/>
    <xf numFmtId="0" fontId="0" fillId="4" borderId="4" xfId="0" applyFill="1" applyBorder="1"/>
    <xf numFmtId="164" fontId="0" fillId="4" borderId="0" xfId="1" applyNumberFormat="1" applyFont="1" applyFill="1" applyBorder="1"/>
    <xf numFmtId="9" fontId="0" fillId="4" borderId="5" xfId="2" applyFont="1" applyFill="1" applyBorder="1"/>
    <xf numFmtId="164" fontId="0" fillId="4" borderId="7" xfId="1" applyNumberFormat="1" applyFont="1" applyFill="1" applyBorder="1"/>
    <xf numFmtId="9" fontId="0" fillId="4" borderId="8" xfId="2" applyFont="1" applyFill="1" applyBorder="1"/>
    <xf numFmtId="9" fontId="0" fillId="6" borderId="3" xfId="0" applyNumberFormat="1" applyFill="1" applyBorder="1"/>
    <xf numFmtId="9" fontId="0" fillId="6" borderId="5" xfId="2" applyFont="1" applyFill="1" applyBorder="1"/>
    <xf numFmtId="0" fontId="13" fillId="6" borderId="2" xfId="0" applyFont="1" applyFill="1" applyBorder="1"/>
    <xf numFmtId="43" fontId="0" fillId="6" borderId="8" xfId="0" applyNumberFormat="1" applyFill="1" applyBorder="1"/>
    <xf numFmtId="0" fontId="13" fillId="9" borderId="2" xfId="0" applyFont="1" applyFill="1" applyBorder="1"/>
    <xf numFmtId="9" fontId="0" fillId="9" borderId="3" xfId="0" applyNumberFormat="1" applyFill="1" applyBorder="1"/>
    <xf numFmtId="0" fontId="13" fillId="9" borderId="4" xfId="0" applyFont="1" applyFill="1" applyBorder="1"/>
    <xf numFmtId="9" fontId="0" fillId="9" borderId="5" xfId="2" applyFont="1" applyFill="1" applyBorder="1"/>
    <xf numFmtId="0" fontId="13" fillId="9" borderId="6" xfId="0" applyFont="1" applyFill="1" applyBorder="1"/>
    <xf numFmtId="2" fontId="0" fillId="9" borderId="8" xfId="0" applyNumberFormat="1" applyFill="1" applyBorder="1"/>
    <xf numFmtId="164" fontId="0" fillId="6" borderId="0" xfId="0" applyNumberFormat="1" applyFill="1"/>
    <xf numFmtId="0" fontId="0" fillId="6" borderId="13" xfId="0" applyFill="1" applyBorder="1"/>
    <xf numFmtId="164" fontId="0" fillId="4" borderId="0" xfId="1" applyNumberFormat="1" applyFont="1" applyFill="1" applyBorder="1" applyAlignment="1">
      <alignment vertical="center"/>
    </xf>
    <xf numFmtId="168" fontId="0" fillId="4" borderId="5" xfId="2" applyNumberFormat="1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14" fillId="6" borderId="13" xfId="0" applyFont="1" applyFill="1" applyBorder="1" applyAlignment="1">
      <alignment vertical="center" wrapText="1"/>
    </xf>
    <xf numFmtId="164" fontId="9" fillId="6" borderId="0" xfId="1" applyNumberFormat="1" applyFont="1" applyFill="1" applyAlignment="1">
      <alignment vertical="center" wrapText="1"/>
    </xf>
    <xf numFmtId="164" fontId="8" fillId="6" borderId="0" xfId="1" applyNumberFormat="1" applyFont="1" applyFill="1" applyBorder="1" applyAlignment="1">
      <alignment vertical="center" wrapText="1"/>
    </xf>
    <xf numFmtId="164" fontId="8" fillId="6" borderId="5" xfId="1" applyNumberFormat="1" applyFont="1" applyFill="1" applyBorder="1" applyAlignment="1">
      <alignment vertical="center" wrapText="1"/>
    </xf>
    <xf numFmtId="164" fontId="9" fillId="6" borderId="8" xfId="1" applyNumberFormat="1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17" fillId="2" borderId="10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wrapText="1"/>
    </xf>
    <xf numFmtId="9" fontId="18" fillId="4" borderId="5" xfId="2" applyFont="1" applyFill="1" applyBorder="1"/>
    <xf numFmtId="0" fontId="0" fillId="3" borderId="9" xfId="0" applyFill="1" applyBorder="1" applyAlignment="1">
      <alignment vertical="center"/>
    </xf>
    <xf numFmtId="164" fontId="1" fillId="3" borderId="11" xfId="0" applyNumberFormat="1" applyFont="1" applyFill="1" applyBorder="1" applyAlignment="1">
      <alignment horizontal="center" vertical="center"/>
    </xf>
    <xf numFmtId="0" fontId="1" fillId="6" borderId="24" xfId="0" applyFont="1" applyFill="1" applyBorder="1"/>
    <xf numFmtId="0" fontId="1" fillId="6" borderId="26" xfId="0" applyFont="1" applyFill="1" applyBorder="1"/>
    <xf numFmtId="0" fontId="1" fillId="6" borderId="28" xfId="0" applyFont="1" applyFill="1" applyBorder="1"/>
    <xf numFmtId="0" fontId="1" fillId="6" borderId="26" xfId="0" applyFont="1" applyFill="1" applyBorder="1" applyAlignment="1">
      <alignment horizontal="left" vertical="center"/>
    </xf>
    <xf numFmtId="164" fontId="0" fillId="6" borderId="27" xfId="1" applyNumberFormat="1" applyFont="1" applyFill="1" applyBorder="1" applyAlignment="1">
      <alignment horizontal="center" vertical="center"/>
    </xf>
    <xf numFmtId="9" fontId="0" fillId="6" borderId="27" xfId="0" applyNumberFormat="1" applyFill="1" applyBorder="1" applyAlignment="1">
      <alignment horizontal="center" vertical="center"/>
    </xf>
    <xf numFmtId="169" fontId="0" fillId="6" borderId="27" xfId="0" applyNumberForma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left" vertical="center"/>
    </xf>
    <xf numFmtId="0" fontId="0" fillId="6" borderId="29" xfId="0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164" fontId="0" fillId="6" borderId="20" xfId="1" applyNumberFormat="1" applyFont="1" applyFill="1" applyBorder="1"/>
    <xf numFmtId="164" fontId="0" fillId="6" borderId="25" xfId="1" applyNumberFormat="1" applyFont="1" applyFill="1" applyBorder="1"/>
    <xf numFmtId="164" fontId="0" fillId="6" borderId="27" xfId="1" applyNumberFormat="1" applyFont="1" applyFill="1" applyBorder="1"/>
    <xf numFmtId="164" fontId="0" fillId="6" borderId="21" xfId="1" applyNumberFormat="1" applyFont="1" applyFill="1" applyBorder="1"/>
    <xf numFmtId="164" fontId="0" fillId="6" borderId="29" xfId="1" applyNumberFormat="1" applyFont="1" applyFill="1" applyBorder="1"/>
    <xf numFmtId="170" fontId="0" fillId="6" borderId="30" xfId="0" applyNumberFormat="1" applyFill="1" applyBorder="1"/>
    <xf numFmtId="164" fontId="0" fillId="6" borderId="0" xfId="0" applyNumberFormat="1" applyFill="1" applyAlignment="1">
      <alignment horizontal="center"/>
    </xf>
    <xf numFmtId="0" fontId="0" fillId="6" borderId="26" xfId="0" applyFill="1" applyBorder="1" applyAlignment="1">
      <alignment horizontal="left"/>
    </xf>
    <xf numFmtId="0" fontId="0" fillId="6" borderId="27" xfId="0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0" fillId="6" borderId="28" xfId="0" applyFill="1" applyBorder="1" applyAlignment="1">
      <alignment horizontal="right" vertical="center"/>
    </xf>
    <xf numFmtId="0" fontId="0" fillId="6" borderId="21" xfId="0" applyFill="1" applyBorder="1" applyAlignment="1">
      <alignment vertical="center"/>
    </xf>
    <xf numFmtId="164" fontId="0" fillId="6" borderId="29" xfId="0" applyNumberForma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left" vertical="center" wrapText="1"/>
    </xf>
    <xf numFmtId="0" fontId="1" fillId="4" borderId="2" xfId="0" applyFont="1" applyFill="1" applyBorder="1"/>
    <xf numFmtId="0" fontId="1" fillId="4" borderId="4" xfId="0" applyFont="1" applyFill="1" applyBorder="1"/>
    <xf numFmtId="0" fontId="1" fillId="4" borderId="4" xfId="0" applyFont="1" applyFill="1" applyBorder="1" applyAlignment="1">
      <alignment vertical="center"/>
    </xf>
    <xf numFmtId="0" fontId="1" fillId="4" borderId="6" xfId="0" applyFont="1" applyFill="1" applyBorder="1"/>
    <xf numFmtId="164" fontId="8" fillId="6" borderId="0" xfId="1" applyNumberFormat="1" applyFont="1" applyFill="1" applyBorder="1" applyAlignment="1">
      <alignment wrapText="1"/>
    </xf>
    <xf numFmtId="164" fontId="0" fillId="10" borderId="0" xfId="1" applyNumberFormat="1" applyFont="1" applyFill="1" applyBorder="1" applyAlignment="1">
      <alignment horizontal="center" vertical="center"/>
    </xf>
    <xf numFmtId="164" fontId="0" fillId="10" borderId="5" xfId="1" applyNumberFormat="1" applyFont="1" applyFill="1" applyBorder="1" applyAlignment="1">
      <alignment horizontal="center" vertical="center"/>
    </xf>
    <xf numFmtId="0" fontId="0" fillId="4" borderId="0" xfId="0" applyFill="1"/>
    <xf numFmtId="0" fontId="0" fillId="4" borderId="5" xfId="0" applyFill="1" applyBorder="1"/>
    <xf numFmtId="9" fontId="0" fillId="6" borderId="0" xfId="2" applyFont="1" applyFill="1"/>
    <xf numFmtId="0" fontId="0" fillId="6" borderId="0" xfId="0" applyFill="1" applyAlignment="1">
      <alignment horizontal="center"/>
    </xf>
    <xf numFmtId="164" fontId="0" fillId="6" borderId="0" xfId="1" applyNumberFormat="1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164" fontId="9" fillId="6" borderId="0" xfId="1" applyNumberFormat="1" applyFont="1" applyFill="1" applyBorder="1" applyAlignment="1">
      <alignment vertical="center" wrapText="1"/>
    </xf>
    <xf numFmtId="164" fontId="9" fillId="6" borderId="5" xfId="1" applyNumberFormat="1" applyFont="1" applyFill="1" applyBorder="1" applyAlignment="1">
      <alignment vertical="center" wrapText="1"/>
    </xf>
    <xf numFmtId="164" fontId="20" fillId="6" borderId="0" xfId="1" applyNumberFormat="1" applyFont="1" applyFill="1" applyBorder="1"/>
    <xf numFmtId="164" fontId="5" fillId="6" borderId="0" xfId="1" applyNumberFormat="1" applyFont="1" applyFill="1" applyBorder="1"/>
    <xf numFmtId="164" fontId="5" fillId="6" borderId="10" xfId="0" applyNumberFormat="1" applyFont="1" applyFill="1" applyBorder="1" applyAlignment="1">
      <alignment horizontal="center"/>
    </xf>
    <xf numFmtId="164" fontId="5" fillId="6" borderId="10" xfId="1" applyNumberFormat="1" applyFont="1" applyFill="1" applyBorder="1" applyAlignment="1">
      <alignment horizontal="center"/>
    </xf>
    <xf numFmtId="1" fontId="20" fillId="6" borderId="0" xfId="0" applyNumberFormat="1" applyFont="1" applyFill="1" applyAlignment="1">
      <alignment horizontal="center"/>
    </xf>
    <xf numFmtId="164" fontId="5" fillId="6" borderId="38" xfId="0" applyNumberFormat="1" applyFont="1" applyFill="1" applyBorder="1" applyAlignment="1">
      <alignment horizontal="center"/>
    </xf>
    <xf numFmtId="164" fontId="5" fillId="6" borderId="39" xfId="1" applyNumberFormat="1" applyFont="1" applyFill="1" applyBorder="1" applyAlignment="1">
      <alignment horizontal="center"/>
    </xf>
    <xf numFmtId="164" fontId="20" fillId="6" borderId="26" xfId="0" applyNumberFormat="1" applyFont="1" applyFill="1" applyBorder="1"/>
    <xf numFmtId="164" fontId="0" fillId="6" borderId="27" xfId="1" applyNumberFormat="1" applyFont="1" applyFill="1" applyBorder="1" applyAlignment="1">
      <alignment horizontal="center"/>
    </xf>
    <xf numFmtId="164" fontId="20" fillId="6" borderId="28" xfId="0" applyNumberFormat="1" applyFont="1" applyFill="1" applyBorder="1"/>
    <xf numFmtId="1" fontId="20" fillId="6" borderId="21" xfId="0" applyNumberFormat="1" applyFont="1" applyFill="1" applyBorder="1" applyAlignment="1">
      <alignment horizontal="center"/>
    </xf>
    <xf numFmtId="164" fontId="20" fillId="6" borderId="21" xfId="1" applyNumberFormat="1" applyFont="1" applyFill="1" applyBorder="1"/>
    <xf numFmtId="164" fontId="23" fillId="6" borderId="0" xfId="0" applyNumberFormat="1" applyFont="1" applyFill="1"/>
    <xf numFmtId="0" fontId="17" fillId="2" borderId="16" xfId="0" applyFont="1" applyFill="1" applyBorder="1"/>
    <xf numFmtId="0" fontId="17" fillId="2" borderId="15" xfId="0" applyFont="1" applyFill="1" applyBorder="1" applyAlignment="1">
      <alignment horizontal="center"/>
    </xf>
    <xf numFmtId="0" fontId="17" fillId="2" borderId="17" xfId="0" applyFont="1" applyFill="1" applyBorder="1" applyAlignment="1">
      <alignment horizontal="center"/>
    </xf>
    <xf numFmtId="0" fontId="24" fillId="11" borderId="18" xfId="0" applyFont="1" applyFill="1" applyBorder="1"/>
    <xf numFmtId="0" fontId="24" fillId="11" borderId="13" xfId="0" applyFont="1" applyFill="1" applyBorder="1"/>
    <xf numFmtId="0" fontId="24" fillId="11" borderId="14" xfId="0" applyFont="1" applyFill="1" applyBorder="1"/>
    <xf numFmtId="0" fontId="11" fillId="6" borderId="13" xfId="0" applyFont="1" applyFill="1" applyBorder="1"/>
    <xf numFmtId="164" fontId="9" fillId="6" borderId="0" xfId="0" applyNumberFormat="1" applyFont="1" applyFill="1"/>
    <xf numFmtId="0" fontId="11" fillId="6" borderId="19" xfId="0" applyFont="1" applyFill="1" applyBorder="1"/>
    <xf numFmtId="164" fontId="9" fillId="6" borderId="15" xfId="0" applyNumberFormat="1" applyFont="1" applyFill="1" applyBorder="1"/>
    <xf numFmtId="164" fontId="9" fillId="6" borderId="17" xfId="0" applyNumberFormat="1" applyFont="1" applyFill="1" applyBorder="1"/>
    <xf numFmtId="0" fontId="11" fillId="6" borderId="14" xfId="0" applyFont="1" applyFill="1" applyBorder="1"/>
    <xf numFmtId="164" fontId="9" fillId="6" borderId="7" xfId="0" applyNumberFormat="1" applyFont="1" applyFill="1" applyBorder="1"/>
    <xf numFmtId="164" fontId="9" fillId="6" borderId="8" xfId="0" applyNumberFormat="1" applyFont="1" applyFill="1" applyBorder="1"/>
    <xf numFmtId="0" fontId="24" fillId="6" borderId="13" xfId="0" applyFont="1" applyFill="1" applyBorder="1"/>
    <xf numFmtId="164" fontId="9" fillId="6" borderId="13" xfId="0" applyNumberFormat="1" applyFont="1" applyFill="1" applyBorder="1"/>
    <xf numFmtId="9" fontId="9" fillId="6" borderId="0" xfId="2" applyFont="1" applyFill="1"/>
    <xf numFmtId="0" fontId="24" fillId="6" borderId="14" xfId="0" applyFont="1" applyFill="1" applyBorder="1"/>
    <xf numFmtId="164" fontId="9" fillId="6" borderId="14" xfId="0" applyNumberFormat="1" applyFont="1" applyFill="1" applyBorder="1"/>
    <xf numFmtId="0" fontId="11" fillId="6" borderId="1" xfId="0" applyFont="1" applyFill="1" applyBorder="1"/>
    <xf numFmtId="164" fontId="11" fillId="6" borderId="1" xfId="0" applyNumberFormat="1" applyFont="1" applyFill="1" applyBorder="1"/>
    <xf numFmtId="0" fontId="9" fillId="6" borderId="13" xfId="0" applyFont="1" applyFill="1" applyBorder="1"/>
    <xf numFmtId="164" fontId="11" fillId="6" borderId="14" xfId="0" applyNumberFormat="1" applyFont="1" applyFill="1" applyBorder="1"/>
    <xf numFmtId="0" fontId="0" fillId="6" borderId="22" xfId="0" applyFill="1" applyBorder="1"/>
    <xf numFmtId="0" fontId="0" fillId="6" borderId="26" xfId="0" applyFill="1" applyBorder="1"/>
    <xf numFmtId="9" fontId="0" fillId="6" borderId="27" xfId="2" applyFont="1" applyFill="1" applyBorder="1" applyAlignment="1">
      <alignment horizontal="center"/>
    </xf>
    <xf numFmtId="0" fontId="0" fillId="6" borderId="28" xfId="0" applyFill="1" applyBorder="1"/>
    <xf numFmtId="0" fontId="3" fillId="2" borderId="37" xfId="0" applyFont="1" applyFill="1" applyBorder="1" applyAlignment="1">
      <alignment horizontal="center"/>
    </xf>
    <xf numFmtId="10" fontId="1" fillId="6" borderId="30" xfId="2" applyNumberFormat="1" applyFont="1" applyFill="1" applyBorder="1" applyAlignment="1">
      <alignment horizontal="center"/>
    </xf>
    <xf numFmtId="10" fontId="0" fillId="6" borderId="0" xfId="0" applyNumberFormat="1" applyFill="1"/>
    <xf numFmtId="0" fontId="15" fillId="2" borderId="9" xfId="0" applyFont="1" applyFill="1" applyBorder="1" applyAlignment="1">
      <alignment horizontal="center" wrapText="1"/>
    </xf>
    <xf numFmtId="164" fontId="9" fillId="6" borderId="4" xfId="1" applyNumberFormat="1" applyFont="1" applyFill="1" applyBorder="1"/>
    <xf numFmtId="164" fontId="9" fillId="6" borderId="4" xfId="1" applyNumberFormat="1" applyFont="1" applyFill="1" applyBorder="1" applyAlignment="1">
      <alignment wrapText="1"/>
    </xf>
    <xf numFmtId="164" fontId="9" fillId="6" borderId="4" xfId="1" applyNumberFormat="1" applyFont="1" applyFill="1" applyBorder="1" applyAlignment="1">
      <alignment horizontal="center" vertical="center"/>
    </xf>
    <xf numFmtId="164" fontId="0" fillId="6" borderId="4" xfId="1" applyNumberFormat="1" applyFont="1" applyFill="1" applyBorder="1"/>
    <xf numFmtId="164" fontId="9" fillId="6" borderId="6" xfId="1" applyNumberFormat="1" applyFont="1" applyFill="1" applyBorder="1" applyAlignment="1">
      <alignment wrapText="1"/>
    </xf>
    <xf numFmtId="9" fontId="19" fillId="6" borderId="27" xfId="0" applyNumberFormat="1" applyFont="1" applyFill="1" applyBorder="1" applyAlignment="1">
      <alignment horizontal="center"/>
    </xf>
    <xf numFmtId="10" fontId="19" fillId="6" borderId="23" xfId="0" applyNumberFormat="1" applyFont="1" applyFill="1" applyBorder="1" applyAlignment="1">
      <alignment horizontal="center"/>
    </xf>
    <xf numFmtId="164" fontId="8" fillId="6" borderId="0" xfId="1" applyNumberFormat="1" applyFont="1" applyFill="1" applyBorder="1" applyAlignment="1">
      <alignment horizontal="left" vertical="center" wrapText="1"/>
    </xf>
    <xf numFmtId="0" fontId="16" fillId="6" borderId="0" xfId="0" applyFont="1" applyFill="1" applyAlignment="1">
      <alignment horizontal="center" vertical="center"/>
    </xf>
    <xf numFmtId="0" fontId="12" fillId="8" borderId="9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left" vertical="center" wrapText="1"/>
    </xf>
    <xf numFmtId="0" fontId="9" fillId="6" borderId="11" xfId="0" applyFont="1" applyFill="1" applyBorder="1" applyAlignment="1">
      <alignment horizontal="left" vertical="center" wrapText="1"/>
    </xf>
    <xf numFmtId="0" fontId="12" fillId="6" borderId="0" xfId="0" applyFont="1" applyFill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9" fillId="6" borderId="0" xfId="0" applyFont="1" applyFill="1" applyAlignment="1">
      <alignment horizontal="left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164" fontId="20" fillId="6" borderId="0" xfId="0" applyNumberFormat="1" applyFont="1" applyFill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/>
    </xf>
    <xf numFmtId="164" fontId="4" fillId="2" borderId="11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Annual Revenue vs Owner's Profit</a:t>
            </a:r>
            <a:r>
              <a:rPr lang="en-ID" baseline="0"/>
              <a:t> (NOI)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>
        <c:manualLayout>
          <c:layoutTarget val="inner"/>
          <c:xMode val="edge"/>
          <c:yMode val="edge"/>
          <c:x val="0.16880058012293123"/>
          <c:y val="0.15762776131460754"/>
          <c:w val="0.81456585298982909"/>
          <c:h val="0.62642182014200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Model Original'!$A$28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Model Original'!$B$24:$L$24</c:f>
              <c:strCache>
                <c:ptCount val="11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  <c:pt idx="6">
                  <c:v>Year 6</c:v>
                </c:pt>
                <c:pt idx="7">
                  <c:v>Year 7</c:v>
                </c:pt>
                <c:pt idx="8">
                  <c:v>Year 8</c:v>
                </c:pt>
                <c:pt idx="9">
                  <c:v>Year 9</c:v>
                </c:pt>
                <c:pt idx="10">
                  <c:v>Year 10</c:v>
                </c:pt>
              </c:strCache>
            </c:strRef>
          </c:cat>
          <c:val>
            <c:numRef>
              <c:f>'Financial Model Original'!$B$28:$L$28</c:f>
              <c:numCache>
                <c:formatCode>_(* #,##0_);_(* \(#,##0\);_(* "-"??_);_(@_)</c:formatCode>
                <c:ptCount val="11"/>
                <c:pt idx="1">
                  <c:v>1782960000</c:v>
                </c:pt>
                <c:pt idx="2">
                  <c:v>1987685760</c:v>
                </c:pt>
                <c:pt idx="3">
                  <c:v>2047316332.8000002</c:v>
                </c:pt>
                <c:pt idx="4">
                  <c:v>2108735822.7840004</c:v>
                </c:pt>
                <c:pt idx="5">
                  <c:v>2171997897.4675207</c:v>
                </c:pt>
                <c:pt idx="6">
                  <c:v>2237157834.3915462</c:v>
                </c:pt>
                <c:pt idx="7">
                  <c:v>2304272569.4232922</c:v>
                </c:pt>
                <c:pt idx="8">
                  <c:v>2373400746.505991</c:v>
                </c:pt>
                <c:pt idx="9">
                  <c:v>2444602768.9011712</c:v>
                </c:pt>
                <c:pt idx="10">
                  <c:v>2517940851.9682064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7-4BB5-A706-807F1175D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080848"/>
        <c:axId val="2013075568"/>
      </c:barChart>
      <c:lineChart>
        <c:grouping val="standard"/>
        <c:varyColors val="0"/>
        <c:ser>
          <c:idx val="1"/>
          <c:order val="1"/>
          <c:tx>
            <c:strRef>
              <c:f>'Financial Model Original'!$A$36</c:f>
              <c:strCache>
                <c:ptCount val="1"/>
                <c:pt idx="0">
                  <c:v>Owner Share (NOI)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'Financial Model Original'!$B$36:$L$36</c:f>
              <c:numCache>
                <c:formatCode>_(* #,##0_);_(* \(#,##0\);_(* "-"??_);_(@_)</c:formatCode>
                <c:ptCount val="11"/>
                <c:pt idx="1">
                  <c:v>856747939.20000005</c:v>
                </c:pt>
                <c:pt idx="2">
                  <c:v>993994796.58239996</c:v>
                </c:pt>
                <c:pt idx="3">
                  <c:v>1026032535.7422721</c:v>
                </c:pt>
                <c:pt idx="4">
                  <c:v>1059086854.4585004</c:v>
                </c:pt>
                <c:pt idx="5">
                  <c:v>1093189636.3023148</c:v>
                </c:pt>
                <c:pt idx="6">
                  <c:v>1128373756.0066946</c:v>
                </c:pt>
                <c:pt idx="7">
                  <c:v>1164673110.0675886</c:v>
                </c:pt>
                <c:pt idx="8">
                  <c:v>1202122648.284827</c:v>
                </c:pt>
                <c:pt idx="9">
                  <c:v>1240758406.2714627</c:v>
                </c:pt>
                <c:pt idx="10">
                  <c:v>1280617538.9611499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A7-4BB5-A706-807F1175D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3080848"/>
        <c:axId val="2013075568"/>
      </c:lineChart>
      <c:catAx>
        <c:axId val="201308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075568"/>
        <c:crosses val="autoZero"/>
        <c:auto val="1"/>
        <c:lblAlgn val="ctr"/>
        <c:lblOffset val="100"/>
        <c:noMultiLvlLbl val="0"/>
      </c:catAx>
      <c:valAx>
        <c:axId val="20130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080848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495396300943396"/>
          <c:y val="8.8823277170193601E-2"/>
          <c:w val="0.45526350624932155"/>
          <c:h val="6.2188504439449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 Cost Breakdown (Year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686-4249-8919-1562173198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86-4249-8919-1562173198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686-4249-8919-1562173198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86-4249-8919-15621731989E}"/>
              </c:ext>
            </c:extLst>
          </c:dPt>
          <c:dLbls>
            <c:dLbl>
              <c:idx val="0"/>
              <c:layout>
                <c:manualLayout>
                  <c:x val="0.12949004011556339"/>
                  <c:y val="-9.11534725971494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86-4249-8919-15621731989E}"/>
                </c:ext>
              </c:extLst>
            </c:dLbl>
            <c:dLbl>
              <c:idx val="1"/>
              <c:layout>
                <c:manualLayout>
                  <c:x val="0.12932422614146663"/>
                  <c:y val="-2.80897720176431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86-4249-8919-15621731989E}"/>
                </c:ext>
              </c:extLst>
            </c:dLbl>
            <c:dLbl>
              <c:idx val="2"/>
              <c:layout>
                <c:manualLayout>
                  <c:x val="-0.20726895696804681"/>
                  <c:y val="3.2771494663777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86-4249-8919-15621731989E}"/>
                </c:ext>
              </c:extLst>
            </c:dLbl>
            <c:dLbl>
              <c:idx val="3"/>
              <c:layout>
                <c:manualLayout>
                  <c:x val="-0.17982798537759048"/>
                  <c:y val="-7.8209803537370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52804874930838"/>
                      <c:h val="0.168068937421500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686-4249-8919-1562173198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'Financial Model Original'!$A$66:$A$69</c:f>
              <c:strCache>
                <c:ptCount val="4"/>
                <c:pt idx="0">
                  <c:v>Vacancy loss</c:v>
                </c:pt>
                <c:pt idx="1">
                  <c:v>Booking fees</c:v>
                </c:pt>
                <c:pt idx="2">
                  <c:v>Operational Expenses (OPEX)</c:v>
                </c:pt>
                <c:pt idx="3">
                  <c:v>Cove Management Fee</c:v>
                </c:pt>
              </c:strCache>
            </c:strRef>
          </c:cat>
          <c:val>
            <c:numRef>
              <c:f>'Financial Model Original'!$B$66:$B$69</c:f>
              <c:numCache>
                <c:formatCode>_(* #,##0.00_);_(* \(#,##0.00\);_(* "-"??_);_(@_)</c:formatCode>
                <c:ptCount val="4"/>
                <c:pt idx="0">
                  <c:v>178027507.1999999</c:v>
                </c:pt>
                <c:pt idx="1">
                  <c:v>139217510.6304</c:v>
                </c:pt>
                <c:pt idx="2">
                  <c:v>554473815.5999999</c:v>
                </c:pt>
                <c:pt idx="3">
                  <c:v>225226654.18732804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6-4249-8919-156217319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  <cx:data id="1">
      <cx:strDim type="cat">
        <cx:f dir="row">_xlchart.v1.0</cx:f>
      </cx:strDim>
      <cx:numDim type="val">
        <cx:f dir="row">_xlchart.v1.2</cx:f>
      </cx:numDim>
    </cx:data>
  </cx:chartData>
  <cx:chart>
    <cx:title pos="t" align="ctr" overlay="0">
      <cx:tx>
        <cx:txData>
          <cx:v>Cumulative Cash Flow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Cumulative Cash Flow Chart</a:t>
          </a:r>
        </a:p>
      </cx:txPr>
    </cx:title>
    <cx:plotArea>
      <cx:plotAreaRegion>
        <cx:series layoutId="waterfall" uniqueId="{3C5ACB83-3685-4BCC-9C03-A013B56C793D}" formatIdx="0"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  <cx:series layoutId="waterfall" hidden="1" uniqueId="{22EB365E-7B09-4F80-B395-4F9370FA692D}" formatIdx="1">
          <cx:dataLabels pos="outEnd">
            <cx:visibility seriesName="0" categoryName="0" value="1"/>
            <cx:separator>, </cx:separator>
          </cx:dataLabels>
          <cx:dataId val="1"/>
          <cx:layoutPr>
            <cx:subtotals/>
          </cx:layoutPr>
        </cx:series>
      </cx:plotAreaRegion>
      <cx:axis id="0">
        <cx:catScaling gapWidth="0.5"/>
        <cx:title>
          <cx:tx>
            <cx:txData>
              <cx:v>No of Years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No of Years</a:t>
              </a:r>
            </a:p>
          </cx:txPr>
        </cx:title>
        <cx:tickLabels/>
      </cx:axis>
      <cx:axis id="1">
        <cx:valScaling/>
        <cx:title>
          <cx:tx>
            <cx:txData>
              <cx:v>Cash Flow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Cash Flow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noFill/>
              </a:ln>
              <a:effectLst/>
            </a:defRPr>
          </a:pPr>
          <a:endParaRPr lang="en-US" sz="900" b="0" i="0" u="none" strike="noStrike" baseline="0">
            <a:ln>
              <a:noFill/>
            </a:ln>
            <a:solidFill>
              <a:sysClr val="windowText" lastClr="000000">
                <a:lumMod val="65000"/>
                <a:lumOff val="35000"/>
              </a:sysClr>
            </a:solidFill>
            <a:effectLst/>
            <a:latin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145780</xdr:colOff>
      <xdr:row>21</xdr:row>
      <xdr:rowOff>184271</xdr:rowOff>
    </xdr:from>
    <xdr:to>
      <xdr:col>21</xdr:col>
      <xdr:colOff>10886</xdr:colOff>
      <xdr:row>40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BF35AC1-7458-024C-66CA-F33D1BA631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22940" y="4024751"/>
              <a:ext cx="5435326" cy="3312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414867</xdr:colOff>
      <xdr:row>31</xdr:row>
      <xdr:rowOff>177800</xdr:rowOff>
    </xdr:from>
    <xdr:to>
      <xdr:col>18</xdr:col>
      <xdr:colOff>423333</xdr:colOff>
      <xdr:row>37</xdr:row>
      <xdr:rowOff>25400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8C5DFAB-8C65-4250-23C3-D540DE793F6D}"/>
            </a:ext>
          </a:extLst>
        </xdr:cNvPr>
        <xdr:cNvCxnSpPr/>
      </xdr:nvCxnSpPr>
      <xdr:spPr>
        <a:xfrm>
          <a:off x="19236267" y="5952067"/>
          <a:ext cx="8466" cy="9652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399143</xdr:colOff>
      <xdr:row>30</xdr:row>
      <xdr:rowOff>169333</xdr:rowOff>
    </xdr:from>
    <xdr:to>
      <xdr:col>18</xdr:col>
      <xdr:colOff>133048</xdr:colOff>
      <xdr:row>30</xdr:row>
      <xdr:rowOff>169333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2711013-5420-9F8C-78B8-1B399EE3D1F0}"/>
            </a:ext>
          </a:extLst>
        </xdr:cNvPr>
        <xdr:cNvCxnSpPr/>
      </xdr:nvCxnSpPr>
      <xdr:spPr>
        <a:xfrm>
          <a:off x="16739810" y="5612190"/>
          <a:ext cx="2152952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329381</xdr:colOff>
      <xdr:row>38</xdr:row>
      <xdr:rowOff>162635</xdr:rowOff>
    </xdr:from>
    <xdr:to>
      <xdr:col>8</xdr:col>
      <xdr:colOff>211016</xdr:colOff>
      <xdr:row>60</xdr:row>
      <xdr:rowOff>175846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6EA1828-FE9A-76A9-9EC2-B001D2CD0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327019</xdr:colOff>
      <xdr:row>63</xdr:row>
      <xdr:rowOff>178348</xdr:rowOff>
    </xdr:from>
    <xdr:to>
      <xdr:col>5</xdr:col>
      <xdr:colOff>686741</xdr:colOff>
      <xdr:row>75</xdr:row>
      <xdr:rowOff>37629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8B6FDA-15A5-3550-21DB-D5835199C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>
      <selection activeCell="A23" sqref="A23"/>
    </sheetView>
  </sheetViews>
  <sheetFormatPr defaultRowHeight="14.4" x14ac:dyDescent="0.3"/>
  <cols>
    <col min="1" max="1" width="19.21875" bestFit="1" customWidth="1"/>
    <col min="2" max="2" width="15.33203125" bestFit="1" customWidth="1"/>
    <col min="3" max="6" width="14.109375" bestFit="1" customWidth="1"/>
    <col min="7" max="12" width="13.5546875" bestFit="1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12" x14ac:dyDescent="0.3">
      <c r="A2" s="7" t="s">
        <v>4</v>
      </c>
      <c r="B2" s="9">
        <v>27434830937</v>
      </c>
      <c r="C2" s="9">
        <v>228623591</v>
      </c>
      <c r="D2" s="10" t="s">
        <v>13</v>
      </c>
      <c r="E2" s="1"/>
    </row>
    <row r="3" spans="1:12" x14ac:dyDescent="0.3">
      <c r="A3" s="7" t="s">
        <v>5</v>
      </c>
      <c r="B3" s="9">
        <v>-682874953</v>
      </c>
      <c r="C3" s="9">
        <v>-5690625</v>
      </c>
      <c r="D3" s="10" t="s">
        <v>14</v>
      </c>
      <c r="E3" s="1"/>
    </row>
    <row r="4" spans="1:12" x14ac:dyDescent="0.3">
      <c r="A4" s="7" t="s">
        <v>6</v>
      </c>
      <c r="B4" s="9">
        <v>-2548806397</v>
      </c>
      <c r="C4" s="9">
        <v>-21240053</v>
      </c>
      <c r="D4" s="10" t="s">
        <v>15</v>
      </c>
      <c r="E4" s="1"/>
    </row>
    <row r="5" spans="1:12" x14ac:dyDescent="0.3">
      <c r="A5" s="7" t="s">
        <v>7</v>
      </c>
      <c r="B5" s="9">
        <v>24203149587</v>
      </c>
      <c r="C5" s="9">
        <v>201692913</v>
      </c>
      <c r="D5" s="10" t="s">
        <v>16</v>
      </c>
      <c r="E5" s="1"/>
    </row>
    <row r="6" spans="1:12" x14ac:dyDescent="0.3">
      <c r="A6" s="7" t="s">
        <v>8</v>
      </c>
      <c r="B6" s="9">
        <v>-8119692836</v>
      </c>
      <c r="C6" s="9">
        <v>-67664107</v>
      </c>
      <c r="D6" s="10" t="s">
        <v>17</v>
      </c>
      <c r="E6" s="1"/>
    </row>
    <row r="7" spans="1:12" x14ac:dyDescent="0.3">
      <c r="A7" s="7" t="s">
        <v>9</v>
      </c>
      <c r="B7" s="9">
        <v>16083456751</v>
      </c>
      <c r="C7" s="9">
        <v>134028806</v>
      </c>
      <c r="D7" s="10" t="s">
        <v>18</v>
      </c>
      <c r="E7" s="1"/>
    </row>
    <row r="8" spans="1:12" x14ac:dyDescent="0.3">
      <c r="A8" s="7" t="s">
        <v>10</v>
      </c>
      <c r="B8" s="9">
        <v>-2901793688</v>
      </c>
      <c r="C8" s="9">
        <v>-24181614</v>
      </c>
      <c r="D8" s="10" t="s">
        <v>19</v>
      </c>
      <c r="E8" s="1"/>
    </row>
    <row r="9" spans="1:12" x14ac:dyDescent="0.3">
      <c r="A9" s="7" t="s">
        <v>11</v>
      </c>
      <c r="B9" s="9">
        <v>13181663062</v>
      </c>
      <c r="C9" s="9">
        <v>109847192</v>
      </c>
      <c r="D9" s="10" t="s">
        <v>20</v>
      </c>
      <c r="E9" s="1"/>
    </row>
    <row r="10" spans="1:12" x14ac:dyDescent="0.3">
      <c r="A10" s="7" t="s">
        <v>12</v>
      </c>
      <c r="B10" s="9">
        <v>13219282358</v>
      </c>
      <c r="C10" s="9">
        <v>110160686</v>
      </c>
      <c r="D10" s="10" t="s">
        <v>21</v>
      </c>
      <c r="E10" s="1"/>
    </row>
    <row r="13" spans="1:12" x14ac:dyDescent="0.3">
      <c r="A13" s="6" t="s">
        <v>0</v>
      </c>
      <c r="B13" s="11" t="s">
        <v>40</v>
      </c>
      <c r="C13" s="11" t="s">
        <v>39</v>
      </c>
      <c r="D13" s="11" t="s">
        <v>38</v>
      </c>
      <c r="E13" s="11" t="s">
        <v>37</v>
      </c>
      <c r="F13" s="11" t="s">
        <v>36</v>
      </c>
      <c r="G13" s="11" t="s">
        <v>35</v>
      </c>
      <c r="H13" s="11" t="s">
        <v>34</v>
      </c>
      <c r="I13" s="11" t="s">
        <v>33</v>
      </c>
      <c r="J13" s="11" t="s">
        <v>32</v>
      </c>
      <c r="K13" s="11" t="s">
        <v>31</v>
      </c>
      <c r="L13" s="11" t="s">
        <v>30</v>
      </c>
    </row>
    <row r="14" spans="1:12" x14ac:dyDescent="0.3">
      <c r="A14" s="84" t="s">
        <v>44</v>
      </c>
      <c r="B14" s="14">
        <v>-7000000000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x14ac:dyDescent="0.3">
      <c r="A15" s="85" t="s">
        <v>43</v>
      </c>
      <c r="B15" s="8"/>
      <c r="C15" s="8">
        <v>963112494</v>
      </c>
      <c r="D15" s="8">
        <v>1202297616</v>
      </c>
      <c r="E15" s="8">
        <v>1288696733</v>
      </c>
      <c r="F15" s="8">
        <v>1271176930</v>
      </c>
      <c r="G15" s="8">
        <v>1348104787</v>
      </c>
      <c r="H15" s="8">
        <v>1331830343</v>
      </c>
      <c r="I15" s="8">
        <v>1430647315</v>
      </c>
      <c r="J15" s="8">
        <v>1410331110</v>
      </c>
      <c r="K15" s="8">
        <v>1495710294</v>
      </c>
      <c r="L15" s="8">
        <v>1477374736</v>
      </c>
    </row>
    <row r="16" spans="1:12" x14ac:dyDescent="0.3">
      <c r="A16" s="85" t="s">
        <v>42</v>
      </c>
      <c r="B16" s="8">
        <f>B14</f>
        <v>-7000000000</v>
      </c>
      <c r="C16" s="8">
        <v>963112494</v>
      </c>
      <c r="D16" s="8">
        <v>1202297616</v>
      </c>
      <c r="E16" s="8">
        <v>1288696733</v>
      </c>
      <c r="F16" s="8">
        <v>1271176930</v>
      </c>
      <c r="G16" s="8">
        <v>1348104787</v>
      </c>
      <c r="H16" s="8">
        <v>1331830343</v>
      </c>
      <c r="I16" s="8">
        <v>1430647315</v>
      </c>
      <c r="J16" s="8">
        <v>1410331110</v>
      </c>
      <c r="K16" s="8">
        <v>1495710294</v>
      </c>
      <c r="L16" s="8">
        <v>1477374736</v>
      </c>
    </row>
    <row r="17" spans="1:12" x14ac:dyDescent="0.3">
      <c r="A17" s="85" t="s">
        <v>41</v>
      </c>
      <c r="B17" s="8">
        <f>B16</f>
        <v>-7000000000</v>
      </c>
      <c r="C17" s="8">
        <f>B16+C16</f>
        <v>-6036887506</v>
      </c>
      <c r="D17" s="8">
        <f>C17+D16</f>
        <v>-4834589890</v>
      </c>
      <c r="E17" s="8">
        <f t="shared" ref="E17:L17" si="0">D17+E16</f>
        <v>-3545893157</v>
      </c>
      <c r="F17" s="8">
        <f t="shared" si="0"/>
        <v>-2274716227</v>
      </c>
      <c r="G17" s="8">
        <f t="shared" si="0"/>
        <v>-926611440</v>
      </c>
      <c r="H17" s="8">
        <f t="shared" si="0"/>
        <v>405218903</v>
      </c>
      <c r="I17" s="8">
        <f t="shared" si="0"/>
        <v>1835866218</v>
      </c>
      <c r="J17" s="8">
        <f t="shared" si="0"/>
        <v>3246197328</v>
      </c>
      <c r="K17" s="8">
        <f t="shared" si="0"/>
        <v>4741907622</v>
      </c>
      <c r="L17" s="8">
        <f t="shared" si="0"/>
        <v>6219282358</v>
      </c>
    </row>
    <row r="18" spans="1:12" x14ac:dyDescent="0.3">
      <c r="A18" s="13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20" spans="1:12" x14ac:dyDescent="0.3">
      <c r="A20" s="5" t="s">
        <v>29</v>
      </c>
      <c r="B20" s="5" t="s">
        <v>28</v>
      </c>
      <c r="D20" s="97"/>
    </row>
    <row r="21" spans="1:12" x14ac:dyDescent="0.3">
      <c r="A21" s="3" t="s">
        <v>27</v>
      </c>
      <c r="B21" s="2" t="s">
        <v>26</v>
      </c>
    </row>
    <row r="22" spans="1:12" x14ac:dyDescent="0.3">
      <c r="A22" s="4" t="s">
        <v>25</v>
      </c>
      <c r="B22" s="2" t="s">
        <v>24</v>
      </c>
    </row>
    <row r="23" spans="1:12" ht="28.8" x14ac:dyDescent="0.3">
      <c r="A23" s="3" t="s">
        <v>23</v>
      </c>
      <c r="B2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438B-E79F-4B8F-9F91-F36EE532694A}">
  <sheetPr>
    <pageSetUpPr autoPageBreaks="0"/>
  </sheetPr>
  <dimension ref="A1:P71"/>
  <sheetViews>
    <sheetView zoomScale="65" zoomScaleNormal="70" workbookViewId="0">
      <selection activeCell="A23" sqref="A23"/>
    </sheetView>
  </sheetViews>
  <sheetFormatPr defaultColWidth="8.88671875" defaultRowHeight="14.4" x14ac:dyDescent="0.3"/>
  <cols>
    <col min="1" max="1" width="27.109375" style="55" customWidth="1"/>
    <col min="2" max="2" width="17.21875" style="55" bestFit="1" customWidth="1"/>
    <col min="3" max="7" width="17.88671875" style="55" bestFit="1" customWidth="1"/>
    <col min="8" max="8" width="21.5546875" style="55" customWidth="1"/>
    <col min="9" max="12" width="17.21875" style="55" bestFit="1" customWidth="1"/>
    <col min="13" max="13" width="12.88671875" style="55" bestFit="1" customWidth="1"/>
    <col min="14" max="14" width="6.109375" style="55" bestFit="1" customWidth="1"/>
    <col min="15" max="16384" width="8.88671875" style="55"/>
  </cols>
  <sheetData>
    <row r="1" spans="1:5" x14ac:dyDescent="0.3">
      <c r="A1" s="88" t="s">
        <v>45</v>
      </c>
      <c r="B1" s="41"/>
      <c r="C1" s="89" t="s">
        <v>84</v>
      </c>
    </row>
    <row r="2" spans="1:5" x14ac:dyDescent="0.3">
      <c r="A2" s="42" t="s">
        <v>46</v>
      </c>
      <c r="B2" s="16"/>
      <c r="C2" s="27"/>
    </row>
    <row r="3" spans="1:5" x14ac:dyDescent="0.3">
      <c r="A3" s="43" t="s">
        <v>47</v>
      </c>
      <c r="B3" s="16"/>
      <c r="C3" s="28">
        <v>7000000000</v>
      </c>
    </row>
    <row r="4" spans="1:5" x14ac:dyDescent="0.3">
      <c r="A4" s="37"/>
      <c r="B4" s="16"/>
      <c r="C4" s="27"/>
    </row>
    <row r="5" spans="1:5" x14ac:dyDescent="0.3">
      <c r="A5" s="44" t="s">
        <v>48</v>
      </c>
      <c r="B5" s="16"/>
      <c r="C5" s="27"/>
      <c r="E5" s="55" t="s">
        <v>108</v>
      </c>
    </row>
    <row r="6" spans="1:5" x14ac:dyDescent="0.3">
      <c r="A6" s="43" t="s">
        <v>49</v>
      </c>
      <c r="B6" s="16"/>
      <c r="C6" s="29">
        <v>38</v>
      </c>
      <c r="E6" s="55" t="s">
        <v>109</v>
      </c>
    </row>
    <row r="7" spans="1:5" x14ac:dyDescent="0.3">
      <c r="A7" s="43" t="s">
        <v>50</v>
      </c>
      <c r="B7" s="16"/>
      <c r="C7" s="28">
        <v>4600000</v>
      </c>
      <c r="D7" s="82"/>
      <c r="E7" s="61"/>
    </row>
    <row r="8" spans="1:5" x14ac:dyDescent="0.3">
      <c r="A8" s="37"/>
      <c r="B8" s="16"/>
      <c r="C8" s="27"/>
    </row>
    <row r="9" spans="1:5" x14ac:dyDescent="0.3">
      <c r="A9" s="45" t="s">
        <v>51</v>
      </c>
      <c r="B9" s="16"/>
      <c r="C9" s="27"/>
    </row>
    <row r="10" spans="1:5" x14ac:dyDescent="0.3">
      <c r="A10" s="43" t="s">
        <v>52</v>
      </c>
      <c r="B10" s="16"/>
      <c r="C10" s="30">
        <v>0.03</v>
      </c>
    </row>
    <row r="11" spans="1:5" x14ac:dyDescent="0.3">
      <c r="A11" s="43" t="s">
        <v>53</v>
      </c>
      <c r="B11" s="16"/>
      <c r="C11" s="30">
        <v>2.5000000000000001E-2</v>
      </c>
    </row>
    <row r="12" spans="1:5" x14ac:dyDescent="0.3">
      <c r="A12" s="37"/>
      <c r="B12" s="16"/>
      <c r="C12" s="27"/>
    </row>
    <row r="13" spans="1:5" x14ac:dyDescent="0.3">
      <c r="A13" s="45" t="s">
        <v>54</v>
      </c>
      <c r="B13" s="16"/>
      <c r="C13" s="27"/>
    </row>
    <row r="14" spans="1:5" x14ac:dyDescent="0.3">
      <c r="A14" s="43" t="s">
        <v>55</v>
      </c>
      <c r="B14" s="16"/>
      <c r="C14" s="30">
        <v>0.85</v>
      </c>
    </row>
    <row r="15" spans="1:5" x14ac:dyDescent="0.3">
      <c r="A15" s="43" t="s">
        <v>56</v>
      </c>
      <c r="B15" s="16"/>
      <c r="C15" s="30">
        <v>0.92</v>
      </c>
    </row>
    <row r="16" spans="1:5" x14ac:dyDescent="0.3">
      <c r="A16" s="37"/>
      <c r="B16" s="16"/>
      <c r="C16" s="27"/>
    </row>
    <row r="17" spans="1:12" x14ac:dyDescent="0.3">
      <c r="A17" s="45" t="s">
        <v>57</v>
      </c>
      <c r="B17" s="16"/>
      <c r="C17" s="27"/>
    </row>
    <row r="18" spans="1:12" x14ac:dyDescent="0.3">
      <c r="A18" s="43" t="s">
        <v>5</v>
      </c>
      <c r="B18" s="16"/>
      <c r="C18" s="30">
        <v>2.5000000000000001E-2</v>
      </c>
    </row>
    <row r="19" spans="1:12" x14ac:dyDescent="0.3">
      <c r="A19" s="37" t="s">
        <v>6</v>
      </c>
      <c r="B19" s="16"/>
      <c r="C19" s="30">
        <v>9.2999999999999999E-2</v>
      </c>
    </row>
    <row r="20" spans="1:12" x14ac:dyDescent="0.3">
      <c r="A20" s="43" t="s">
        <v>58</v>
      </c>
      <c r="B20" s="16"/>
      <c r="C20" s="30">
        <v>0.29599999999999999</v>
      </c>
    </row>
    <row r="21" spans="1:12" x14ac:dyDescent="0.3">
      <c r="A21" s="46" t="s">
        <v>59</v>
      </c>
      <c r="B21" s="31"/>
      <c r="C21" s="32">
        <v>0.18</v>
      </c>
    </row>
    <row r="22" spans="1:12" x14ac:dyDescent="0.3">
      <c r="A22" s="56"/>
      <c r="B22" s="57"/>
      <c r="C22" s="58"/>
    </row>
    <row r="24" spans="1:12" x14ac:dyDescent="0.3">
      <c r="A24" s="53" t="s">
        <v>81</v>
      </c>
      <c r="B24" s="33" t="s">
        <v>67</v>
      </c>
      <c r="C24" s="34" t="s">
        <v>68</v>
      </c>
      <c r="D24" s="33" t="s">
        <v>73</v>
      </c>
      <c r="E24" s="34" t="s">
        <v>74</v>
      </c>
      <c r="F24" s="33" t="s">
        <v>75</v>
      </c>
      <c r="G24" s="34" t="s">
        <v>76</v>
      </c>
      <c r="H24" s="33" t="s">
        <v>77</v>
      </c>
      <c r="I24" s="34" t="s">
        <v>78</v>
      </c>
      <c r="J24" s="33" t="s">
        <v>79</v>
      </c>
      <c r="K24" s="34" t="s">
        <v>80</v>
      </c>
      <c r="L24" s="35" t="s">
        <v>69</v>
      </c>
    </row>
    <row r="25" spans="1:12" x14ac:dyDescent="0.3">
      <c r="A25" s="36" t="s">
        <v>60</v>
      </c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9"/>
    </row>
    <row r="26" spans="1:12" x14ac:dyDescent="0.3">
      <c r="A26" s="37" t="s">
        <v>61</v>
      </c>
      <c r="B26" s="17"/>
      <c r="C26" s="20">
        <f>$C$6*$C$7*12</f>
        <v>2097600000</v>
      </c>
      <c r="D26" s="66">
        <f>C26*(1+$C$10)</f>
        <v>2160528000</v>
      </c>
      <c r="E26" s="66">
        <f t="shared" ref="E26:L26" si="0">D26*(1+$C$10)</f>
        <v>2225343840</v>
      </c>
      <c r="F26" s="66">
        <f t="shared" si="0"/>
        <v>2292104155.2000003</v>
      </c>
      <c r="G26" s="66">
        <f t="shared" si="0"/>
        <v>2360867279.8560004</v>
      </c>
      <c r="H26" s="66">
        <f t="shared" si="0"/>
        <v>2431693298.2516804</v>
      </c>
      <c r="I26" s="66">
        <f t="shared" si="0"/>
        <v>2504644097.1992307</v>
      </c>
      <c r="J26" s="66">
        <f t="shared" si="0"/>
        <v>2579783420.1152077</v>
      </c>
      <c r="K26" s="66">
        <f t="shared" si="0"/>
        <v>2657176922.7186642</v>
      </c>
      <c r="L26" s="68">
        <f t="shared" si="0"/>
        <v>2736892230.4002242</v>
      </c>
    </row>
    <row r="27" spans="1:12" x14ac:dyDescent="0.3">
      <c r="A27" s="37" t="s">
        <v>62</v>
      </c>
      <c r="B27" s="17"/>
      <c r="C27" s="20">
        <f>C26*(1-$C$14)</f>
        <v>314640000.00000006</v>
      </c>
      <c r="D27" s="20">
        <f>D26*(1-$C$15)</f>
        <v>172842239.99999991</v>
      </c>
      <c r="E27" s="20">
        <f t="shared" ref="E27:L27" si="1">E26*(1-$C$15)</f>
        <v>178027507.1999999</v>
      </c>
      <c r="F27" s="20">
        <f t="shared" si="1"/>
        <v>183368332.41599992</v>
      </c>
      <c r="G27" s="20">
        <f t="shared" si="1"/>
        <v>188869382.38847995</v>
      </c>
      <c r="H27" s="20">
        <f t="shared" si="1"/>
        <v>194535463.86013433</v>
      </c>
      <c r="I27" s="20">
        <f t="shared" si="1"/>
        <v>200371527.77593836</v>
      </c>
      <c r="J27" s="20">
        <f t="shared" si="1"/>
        <v>206382673.60921651</v>
      </c>
      <c r="K27" s="20">
        <f t="shared" si="1"/>
        <v>212574153.81749302</v>
      </c>
      <c r="L27" s="69">
        <f t="shared" si="1"/>
        <v>218951378.43201783</v>
      </c>
    </row>
    <row r="28" spans="1:12" x14ac:dyDescent="0.3">
      <c r="A28" s="38" t="s">
        <v>4</v>
      </c>
      <c r="B28" s="17"/>
      <c r="C28" s="20">
        <f>C26-C27</f>
        <v>1782960000</v>
      </c>
      <c r="D28" s="20">
        <f t="shared" ref="D28:L28" si="2">D26-D27</f>
        <v>1987685760</v>
      </c>
      <c r="E28" s="20">
        <f t="shared" si="2"/>
        <v>2047316332.8000002</v>
      </c>
      <c r="F28" s="20">
        <f t="shared" si="2"/>
        <v>2108735822.7840004</v>
      </c>
      <c r="G28" s="20">
        <f t="shared" si="2"/>
        <v>2171997897.4675207</v>
      </c>
      <c r="H28" s="20">
        <f t="shared" si="2"/>
        <v>2237157834.3915462</v>
      </c>
      <c r="I28" s="20">
        <f t="shared" si="2"/>
        <v>2304272569.4232922</v>
      </c>
      <c r="J28" s="20">
        <f t="shared" si="2"/>
        <v>2373400746.505991</v>
      </c>
      <c r="K28" s="20">
        <f t="shared" si="2"/>
        <v>2444602768.9011712</v>
      </c>
      <c r="L28" s="69">
        <f t="shared" si="2"/>
        <v>2517940851.9682064</v>
      </c>
    </row>
    <row r="29" spans="1:12" x14ac:dyDescent="0.3">
      <c r="A29" s="38" t="s">
        <v>63</v>
      </c>
      <c r="B29" s="17"/>
      <c r="C29" s="65"/>
      <c r="D29" s="65"/>
      <c r="E29" s="20"/>
      <c r="F29" s="20"/>
      <c r="G29" s="20"/>
      <c r="H29" s="20"/>
      <c r="I29" s="20"/>
      <c r="J29" s="20"/>
      <c r="K29" s="20"/>
      <c r="L29" s="69"/>
    </row>
    <row r="30" spans="1:12" x14ac:dyDescent="0.3">
      <c r="A30" s="37" t="s">
        <v>5</v>
      </c>
      <c r="B30" s="17"/>
      <c r="C30" s="20">
        <f>-C28*$C$18</f>
        <v>-44574000</v>
      </c>
      <c r="D30" s="20">
        <f t="shared" ref="D30:L30" si="3">-D28*$C$18</f>
        <v>-49692144</v>
      </c>
      <c r="E30" s="20">
        <f t="shared" si="3"/>
        <v>-51182908.320000008</v>
      </c>
      <c r="F30" s="20">
        <f t="shared" si="3"/>
        <v>-52718395.569600016</v>
      </c>
      <c r="G30" s="20">
        <f t="shared" si="3"/>
        <v>-54299947.436688021</v>
      </c>
      <c r="H30" s="20">
        <f t="shared" si="3"/>
        <v>-55928945.859788656</v>
      </c>
      <c r="I30" s="20">
        <f t="shared" si="3"/>
        <v>-57606814.235582307</v>
      </c>
      <c r="J30" s="20">
        <f t="shared" si="3"/>
        <v>-59335018.662649781</v>
      </c>
      <c r="K30" s="20">
        <f t="shared" si="3"/>
        <v>-61115069.222529285</v>
      </c>
      <c r="L30" s="69">
        <f t="shared" si="3"/>
        <v>-62948521.299205162</v>
      </c>
    </row>
    <row r="31" spans="1:12" x14ac:dyDescent="0.3">
      <c r="A31" s="37" t="s">
        <v>6</v>
      </c>
      <c r="B31" s="17"/>
      <c r="C31" s="66">
        <f>-C28*$C$19</f>
        <v>-165815280</v>
      </c>
      <c r="D31" s="66">
        <f t="shared" ref="D31:L31" si="4">-D28*$C$19</f>
        <v>-184854775.68000001</v>
      </c>
      <c r="E31" s="66">
        <f t="shared" si="4"/>
        <v>-190400418.95040002</v>
      </c>
      <c r="F31" s="66">
        <f t="shared" si="4"/>
        <v>-196112431.51891205</v>
      </c>
      <c r="G31" s="66">
        <f t="shared" si="4"/>
        <v>-201995804.46447942</v>
      </c>
      <c r="H31" s="66">
        <f t="shared" si="4"/>
        <v>-208055678.5984138</v>
      </c>
      <c r="I31" s="66">
        <f t="shared" si="4"/>
        <v>-214297348.95636618</v>
      </c>
      <c r="J31" s="66">
        <f t="shared" si="4"/>
        <v>-220726269.42505717</v>
      </c>
      <c r="K31" s="66">
        <f t="shared" si="4"/>
        <v>-227348057.50780892</v>
      </c>
      <c r="L31" s="68">
        <f t="shared" si="4"/>
        <v>-234168499.23304319</v>
      </c>
    </row>
    <row r="32" spans="1:12" x14ac:dyDescent="0.3">
      <c r="A32" s="38" t="s">
        <v>7</v>
      </c>
      <c r="B32" s="17"/>
      <c r="C32" s="66">
        <f>SUM(C28:C31)</f>
        <v>1572570720</v>
      </c>
      <c r="D32" s="66">
        <f t="shared" ref="D32:L32" si="5">SUM(D28:D31)</f>
        <v>1753138840.3199999</v>
      </c>
      <c r="E32" s="66">
        <f t="shared" si="5"/>
        <v>1805733005.5296001</v>
      </c>
      <c r="F32" s="66">
        <f t="shared" si="5"/>
        <v>1859904995.6954882</v>
      </c>
      <c r="G32" s="66">
        <f t="shared" si="5"/>
        <v>1915702145.5663533</v>
      </c>
      <c r="H32" s="66">
        <f t="shared" si="5"/>
        <v>1973173209.9333436</v>
      </c>
      <c r="I32" s="66">
        <f t="shared" si="5"/>
        <v>2032368406.2313437</v>
      </c>
      <c r="J32" s="66">
        <f t="shared" si="5"/>
        <v>2093339458.4182842</v>
      </c>
      <c r="K32" s="66">
        <f t="shared" si="5"/>
        <v>2156139642.1708326</v>
      </c>
      <c r="L32" s="68">
        <f t="shared" si="5"/>
        <v>2220823831.4359579</v>
      </c>
    </row>
    <row r="33" spans="1:12" x14ac:dyDescent="0.3">
      <c r="A33" s="37" t="s">
        <v>64</v>
      </c>
      <c r="B33" s="17"/>
      <c r="C33" s="20">
        <f>-C28*$C$20</f>
        <v>-527756160</v>
      </c>
      <c r="D33" s="20">
        <f>C33*(1+$C$11)</f>
        <v>-540950064</v>
      </c>
      <c r="E33" s="20">
        <f t="shared" ref="E33:L33" si="6">D33*(1+$C$11)</f>
        <v>-554473815.5999999</v>
      </c>
      <c r="F33" s="20">
        <f t="shared" si="6"/>
        <v>-568335660.98999989</v>
      </c>
      <c r="G33" s="20">
        <f t="shared" si="6"/>
        <v>-582544052.51474988</v>
      </c>
      <c r="H33" s="20">
        <f t="shared" si="6"/>
        <v>-597107653.8276186</v>
      </c>
      <c r="I33" s="20">
        <f t="shared" si="6"/>
        <v>-612035345.17330897</v>
      </c>
      <c r="J33" s="20">
        <f t="shared" si="6"/>
        <v>-627336228.80264163</v>
      </c>
      <c r="K33" s="20">
        <f t="shared" si="6"/>
        <v>-643019634.52270758</v>
      </c>
      <c r="L33" s="20">
        <f t="shared" si="6"/>
        <v>-659095125.38577521</v>
      </c>
    </row>
    <row r="34" spans="1:12" s="64" customFormat="1" ht="14.4" customHeight="1" x14ac:dyDescent="0.3">
      <c r="A34" s="38" t="s">
        <v>65</v>
      </c>
      <c r="B34" s="18"/>
      <c r="C34" s="65">
        <f>SUM(C32:C33)</f>
        <v>1044814560</v>
      </c>
      <c r="D34" s="70">
        <f>SUM(D32:D33)</f>
        <v>1212188776.3199999</v>
      </c>
      <c r="E34" s="70">
        <f t="shared" ref="E34:L34" si="7">SUM(E32:E33)</f>
        <v>1251259189.9296002</v>
      </c>
      <c r="F34" s="70">
        <f t="shared" si="7"/>
        <v>1291569334.7054882</v>
      </c>
      <c r="G34" s="70">
        <f t="shared" si="7"/>
        <v>1333158093.0516033</v>
      </c>
      <c r="H34" s="70">
        <f t="shared" si="7"/>
        <v>1376065556.105725</v>
      </c>
      <c r="I34" s="70">
        <f t="shared" si="7"/>
        <v>1420333061.0580349</v>
      </c>
      <c r="J34" s="70">
        <f t="shared" si="7"/>
        <v>1466003229.6156425</v>
      </c>
      <c r="K34" s="70">
        <f t="shared" si="7"/>
        <v>1513120007.6481252</v>
      </c>
      <c r="L34" s="71">
        <f t="shared" si="7"/>
        <v>1561728706.0501828</v>
      </c>
    </row>
    <row r="35" spans="1:12" x14ac:dyDescent="0.3">
      <c r="A35" s="37" t="s">
        <v>10</v>
      </c>
      <c r="B35" s="17"/>
      <c r="C35" s="20">
        <f>-C34*$C$21</f>
        <v>-188066620.79999998</v>
      </c>
      <c r="D35" s="20">
        <f t="shared" ref="D35:L35" si="8">-D34*$C$21</f>
        <v>-218193979.73759997</v>
      </c>
      <c r="E35" s="20">
        <f t="shared" si="8"/>
        <v>-225226654.18732804</v>
      </c>
      <c r="F35" s="20">
        <f t="shared" si="8"/>
        <v>-232482480.24698788</v>
      </c>
      <c r="G35" s="20">
        <f t="shared" si="8"/>
        <v>-239968456.74928859</v>
      </c>
      <c r="H35" s="20">
        <f t="shared" si="8"/>
        <v>-247691800.09903049</v>
      </c>
      <c r="I35" s="20">
        <f t="shared" si="8"/>
        <v>-255659950.99044627</v>
      </c>
      <c r="J35" s="20">
        <f t="shared" si="8"/>
        <v>-263880581.33081564</v>
      </c>
      <c r="K35" s="20">
        <f t="shared" si="8"/>
        <v>-272361601.37666249</v>
      </c>
      <c r="L35" s="69">
        <f t="shared" si="8"/>
        <v>-281111167.08903289</v>
      </c>
    </row>
    <row r="36" spans="1:12" x14ac:dyDescent="0.3">
      <c r="A36" s="38" t="s">
        <v>66</v>
      </c>
      <c r="B36" s="17"/>
      <c r="C36" s="20">
        <f>SUM(C34:C35)</f>
        <v>856747939.20000005</v>
      </c>
      <c r="D36" s="20">
        <f t="shared" ref="D36:L36" si="9">SUM(D34:D35)</f>
        <v>993994796.58239996</v>
      </c>
      <c r="E36" s="20">
        <f t="shared" si="9"/>
        <v>1026032535.7422721</v>
      </c>
      <c r="F36" s="20">
        <f t="shared" si="9"/>
        <v>1059086854.4585004</v>
      </c>
      <c r="G36" s="20">
        <f t="shared" si="9"/>
        <v>1093189636.3023148</v>
      </c>
      <c r="H36" s="20">
        <f t="shared" si="9"/>
        <v>1128373756.0066946</v>
      </c>
      <c r="I36" s="20">
        <f t="shared" si="9"/>
        <v>1164673110.0675886</v>
      </c>
      <c r="J36" s="20">
        <f t="shared" si="9"/>
        <v>1202122648.284827</v>
      </c>
      <c r="K36" s="20">
        <f t="shared" si="9"/>
        <v>1240758406.2714627</v>
      </c>
      <c r="L36" s="69">
        <f t="shared" si="9"/>
        <v>1280617538.9611499</v>
      </c>
    </row>
    <row r="37" spans="1:12" x14ac:dyDescent="0.3">
      <c r="A37" s="39" t="s">
        <v>42</v>
      </c>
      <c r="B37" s="21">
        <f>-$C$3</f>
        <v>-7000000000</v>
      </c>
      <c r="C37" s="20">
        <f>C36</f>
        <v>856747939.20000005</v>
      </c>
      <c r="D37" s="20">
        <f t="shared" ref="D37:L37" si="10">D36</f>
        <v>993994796.58239996</v>
      </c>
      <c r="E37" s="20">
        <f t="shared" si="10"/>
        <v>1026032535.7422721</v>
      </c>
      <c r="F37" s="20">
        <f t="shared" si="10"/>
        <v>1059086854.4585004</v>
      </c>
      <c r="G37" s="20">
        <f t="shared" si="10"/>
        <v>1093189636.3023148</v>
      </c>
      <c r="H37" s="20">
        <f t="shared" si="10"/>
        <v>1128373756.0066946</v>
      </c>
      <c r="I37" s="20">
        <f t="shared" si="10"/>
        <v>1164673110.0675886</v>
      </c>
      <c r="J37" s="20">
        <f t="shared" si="10"/>
        <v>1202122648.284827</v>
      </c>
      <c r="K37" s="20">
        <f t="shared" si="10"/>
        <v>1240758406.2714627</v>
      </c>
      <c r="L37" s="69">
        <f t="shared" si="10"/>
        <v>1280617538.9611499</v>
      </c>
    </row>
    <row r="38" spans="1:12" x14ac:dyDescent="0.3">
      <c r="A38" s="40" t="s">
        <v>82</v>
      </c>
      <c r="B38" s="74">
        <f>B37</f>
        <v>-7000000000</v>
      </c>
      <c r="C38" s="67">
        <f>B38+C37</f>
        <v>-6143252060.8000002</v>
      </c>
      <c r="D38" s="67">
        <f t="shared" ref="D38:L38" si="11">C38+D37</f>
        <v>-5149257264.2175999</v>
      </c>
      <c r="E38" s="67">
        <f t="shared" si="11"/>
        <v>-4123224728.4753275</v>
      </c>
      <c r="F38" s="67">
        <f t="shared" si="11"/>
        <v>-3064137874.0168271</v>
      </c>
      <c r="G38" s="67">
        <f t="shared" si="11"/>
        <v>-1970948237.7145123</v>
      </c>
      <c r="H38" s="67">
        <f t="shared" si="11"/>
        <v>-842574481.70781779</v>
      </c>
      <c r="I38" s="72">
        <f t="shared" si="11"/>
        <v>322098628.35977077</v>
      </c>
      <c r="J38" s="67">
        <f t="shared" si="11"/>
        <v>1524221276.6445978</v>
      </c>
      <c r="K38" s="67">
        <f t="shared" si="11"/>
        <v>2764979682.9160604</v>
      </c>
      <c r="L38" s="73">
        <f t="shared" si="11"/>
        <v>4045597221.8772106</v>
      </c>
    </row>
    <row r="39" spans="1:12" x14ac:dyDescent="0.3">
      <c r="A39" s="59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2" x14ac:dyDescent="0.3">
      <c r="A40" s="52" t="s">
        <v>83</v>
      </c>
      <c r="B40" s="54">
        <f>-$C$3</f>
        <v>-7000000000</v>
      </c>
      <c r="C40" s="62"/>
      <c r="J40" s="277" t="s">
        <v>94</v>
      </c>
      <c r="K40" s="278"/>
    </row>
    <row r="41" spans="1:12" ht="28.8" x14ac:dyDescent="0.3">
      <c r="A41" s="47" t="s">
        <v>68</v>
      </c>
      <c r="B41" s="22">
        <f>C37</f>
        <v>856747939.20000005</v>
      </c>
      <c r="C41" s="56"/>
      <c r="J41" s="76" t="s">
        <v>95</v>
      </c>
      <c r="K41" s="86">
        <f>-((D30+D31+D33+D35)/12)/C7</f>
        <v>18.001647888000001</v>
      </c>
    </row>
    <row r="42" spans="1:12" ht="28.8" x14ac:dyDescent="0.3">
      <c r="A42" s="47" t="s">
        <v>73</v>
      </c>
      <c r="B42" s="22">
        <f>D$37</f>
        <v>993994796.58239996</v>
      </c>
      <c r="C42" s="57"/>
      <c r="J42" s="77" t="s">
        <v>96</v>
      </c>
      <c r="K42" s="79">
        <f>K41/C6</f>
        <v>0.47372757600000004</v>
      </c>
    </row>
    <row r="43" spans="1:12" x14ac:dyDescent="0.3">
      <c r="A43" s="47" t="s">
        <v>74</v>
      </c>
      <c r="B43" s="22">
        <f>E$37</f>
        <v>1026032535.7422721</v>
      </c>
      <c r="C43" s="57"/>
      <c r="J43" s="87" t="s">
        <v>107</v>
      </c>
    </row>
    <row r="44" spans="1:12" x14ac:dyDescent="0.3">
      <c r="A44" s="47" t="s">
        <v>75</v>
      </c>
      <c r="B44" s="22">
        <f>F$37</f>
        <v>1059086854.4585004</v>
      </c>
      <c r="C44" s="57"/>
    </row>
    <row r="45" spans="1:12" x14ac:dyDescent="0.3">
      <c r="A45" s="47" t="s">
        <v>76</v>
      </c>
      <c r="B45" s="22">
        <f>G$37</f>
        <v>1093189636.3023148</v>
      </c>
      <c r="C45" s="57"/>
    </row>
    <row r="46" spans="1:12" x14ac:dyDescent="0.3">
      <c r="A46" s="47" t="s">
        <v>77</v>
      </c>
      <c r="B46" s="22">
        <f>H$37</f>
        <v>1128373756.0066946</v>
      </c>
      <c r="C46" s="57"/>
    </row>
    <row r="47" spans="1:12" x14ac:dyDescent="0.3">
      <c r="A47" s="47" t="s">
        <v>78</v>
      </c>
      <c r="B47" s="22">
        <f>I$37</f>
        <v>1164673110.0675886</v>
      </c>
      <c r="C47" s="57"/>
    </row>
    <row r="48" spans="1:12" x14ac:dyDescent="0.3">
      <c r="A48" s="47" t="s">
        <v>79</v>
      </c>
      <c r="B48" s="22">
        <f>J$37</f>
        <v>1202122648.284827</v>
      </c>
      <c r="C48" s="57"/>
    </row>
    <row r="49" spans="1:3" x14ac:dyDescent="0.3">
      <c r="A49" s="47" t="s">
        <v>80</v>
      </c>
      <c r="B49" s="22">
        <f>K$37</f>
        <v>1240758406.2714627</v>
      </c>
      <c r="C49" s="57"/>
    </row>
    <row r="50" spans="1:3" x14ac:dyDescent="0.3">
      <c r="A50" s="48" t="s">
        <v>69</v>
      </c>
      <c r="B50" s="23">
        <f>L$37</f>
        <v>1280617538.9611499</v>
      </c>
      <c r="C50" s="57"/>
    </row>
    <row r="51" spans="1:3" x14ac:dyDescent="0.3">
      <c r="A51" s="15"/>
      <c r="B51" s="15"/>
      <c r="C51" s="57"/>
    </row>
    <row r="52" spans="1:3" x14ac:dyDescent="0.3">
      <c r="A52" s="270" t="s">
        <v>70</v>
      </c>
      <c r="B52" s="271"/>
      <c r="C52" s="57"/>
    </row>
    <row r="53" spans="1:3" x14ac:dyDescent="0.3">
      <c r="A53" s="49" t="s">
        <v>27</v>
      </c>
      <c r="B53" s="24">
        <f>IRR(B40:B50)</f>
        <v>8.6977327173762609E-2</v>
      </c>
      <c r="C53" s="58"/>
    </row>
    <row r="54" spans="1:3" x14ac:dyDescent="0.3">
      <c r="A54" s="50" t="s">
        <v>71</v>
      </c>
      <c r="B54" s="25">
        <f>D36/$C$3</f>
        <v>0.14199925665462856</v>
      </c>
      <c r="C54" s="58"/>
    </row>
    <row r="55" spans="1:3" x14ac:dyDescent="0.3">
      <c r="A55" s="51" t="s">
        <v>72</v>
      </c>
      <c r="B55" s="26" cm="1">
        <f t="array" ref="B55">(COUNTIF(B38:L38,"&lt;0")-1) + (-INDEX(B38:L38, COUNTIF(B38:L38,"&lt;0")) / INDEX(B37:L37, COUNTIF(B38:L38,"&lt;0")+1))</f>
        <v>6.7234428909060338</v>
      </c>
      <c r="C55" s="63"/>
    </row>
    <row r="65" spans="1:16" x14ac:dyDescent="0.3">
      <c r="A65" s="268" t="s">
        <v>97</v>
      </c>
      <c r="B65" s="269"/>
      <c r="H65" s="272" t="s">
        <v>89</v>
      </c>
      <c r="I65" s="273"/>
      <c r="J65" s="272" t="s">
        <v>99</v>
      </c>
      <c r="K65" s="273"/>
      <c r="M65" s="276"/>
      <c r="N65" s="276"/>
      <c r="O65" s="276"/>
      <c r="P65" s="276"/>
    </row>
    <row r="66" spans="1:16" ht="27.6" customHeight="1" x14ac:dyDescent="0.3">
      <c r="A66" s="90" t="s">
        <v>85</v>
      </c>
      <c r="B66" s="91">
        <f>ABS(E27)</f>
        <v>178027507.1999999</v>
      </c>
      <c r="H66" s="80" t="s">
        <v>90</v>
      </c>
      <c r="I66" s="81">
        <v>8.6977327173762609E-2</v>
      </c>
      <c r="J66" s="274" t="s">
        <v>104</v>
      </c>
      <c r="K66" s="275"/>
      <c r="M66" s="75"/>
      <c r="N66" s="83"/>
      <c r="O66" s="279"/>
      <c r="P66" s="279"/>
    </row>
    <row r="67" spans="1:16" ht="28.8" x14ac:dyDescent="0.3">
      <c r="A67" s="92" t="s">
        <v>86</v>
      </c>
      <c r="B67" s="93">
        <f>ABS((E30)+ABS((E31)))</f>
        <v>139217510.6304</v>
      </c>
      <c r="H67" s="78" t="s">
        <v>92</v>
      </c>
      <c r="I67" s="81">
        <v>7.19463415673669E-2</v>
      </c>
      <c r="J67" s="274" t="s">
        <v>98</v>
      </c>
      <c r="K67" s="275"/>
    </row>
    <row r="68" spans="1:16" ht="32.4" customHeight="1" x14ac:dyDescent="0.3">
      <c r="A68" s="92" t="s">
        <v>87</v>
      </c>
      <c r="B68" s="93">
        <f>ABS(E33)</f>
        <v>554473815.5999999</v>
      </c>
      <c r="H68" s="78" t="s">
        <v>101</v>
      </c>
      <c r="I68" s="81">
        <v>-2.8129042561216067E-2</v>
      </c>
      <c r="J68" s="274" t="s">
        <v>102</v>
      </c>
      <c r="K68" s="275"/>
    </row>
    <row r="69" spans="1:16" ht="31.2" customHeight="1" x14ac:dyDescent="0.3">
      <c r="A69" s="94" t="s">
        <v>88</v>
      </c>
      <c r="B69" s="95">
        <f>ABS(E35)</f>
        <v>225226654.18732804</v>
      </c>
      <c r="H69" s="78" t="s">
        <v>91</v>
      </c>
      <c r="I69" s="81">
        <v>6.7257102082223685E-2</v>
      </c>
      <c r="J69" s="274" t="s">
        <v>103</v>
      </c>
      <c r="K69" s="275"/>
    </row>
    <row r="70" spans="1:16" ht="43.2" customHeight="1" x14ac:dyDescent="0.3">
      <c r="H70" s="78" t="s">
        <v>93</v>
      </c>
      <c r="I70" s="81">
        <v>7.766549609964879E-2</v>
      </c>
      <c r="J70" s="274" t="s">
        <v>100</v>
      </c>
      <c r="K70" s="275"/>
    </row>
    <row r="71" spans="1:16" ht="43.2" customHeight="1" x14ac:dyDescent="0.3">
      <c r="H71" s="78" t="s">
        <v>106</v>
      </c>
      <c r="I71" s="81">
        <v>7.0539218565478734E-2</v>
      </c>
      <c r="J71" s="274" t="s">
        <v>105</v>
      </c>
      <c r="K71" s="275"/>
    </row>
  </sheetData>
  <mergeCells count="14">
    <mergeCell ref="J71:K71"/>
    <mergeCell ref="M65:N65"/>
    <mergeCell ref="H65:I65"/>
    <mergeCell ref="J40:K40"/>
    <mergeCell ref="O65:P65"/>
    <mergeCell ref="O66:P66"/>
    <mergeCell ref="J67:K67"/>
    <mergeCell ref="J68:K68"/>
    <mergeCell ref="J69:K69"/>
    <mergeCell ref="A65:B65"/>
    <mergeCell ref="A52:B52"/>
    <mergeCell ref="J65:K65"/>
    <mergeCell ref="J66:K66"/>
    <mergeCell ref="J70:K70"/>
  </mergeCells>
  <phoneticPr fontId="6" type="noConversion"/>
  <conditionalFormatting sqref="I66:I7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{D61308FF-A2B1-4337-9B9D-51AE6E2504AF}</x14:id>
        </ext>
      </extLst>
    </cfRule>
  </conditionalFormatting>
  <conditionalFormatting sqref="N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{50E349B6-4357-4264-B46F-0C3FB92DCBBE}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1308FF-A2B1-4337-9B9D-51AE6E2504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I66:I71</xm:sqref>
        </x14:conditionalFormatting>
        <x14:conditionalFormatting xmlns:xm="http://schemas.microsoft.com/office/excel/2006/main">
          <x14:cfRule type="dataBar" id="{50E349B6-4357-4264-B46F-0C3FB92DC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6697-7A4F-4C51-A710-0D3764D941F0}">
  <dimension ref="A1:P43"/>
  <sheetViews>
    <sheetView tabSelected="1" zoomScale="76" zoomScaleNormal="120" workbookViewId="0">
      <selection activeCell="B2" sqref="B2"/>
    </sheetView>
  </sheetViews>
  <sheetFormatPr defaultColWidth="8.88671875" defaultRowHeight="14.4" x14ac:dyDescent="0.3"/>
  <cols>
    <col min="1" max="1" width="26.77734375" style="135" bestFit="1" customWidth="1"/>
    <col min="2" max="2" width="8.88671875" style="135"/>
    <col min="3" max="3" width="15.44140625" style="135" bestFit="1" customWidth="1"/>
    <col min="4" max="4" width="13.77734375" style="135" bestFit="1" customWidth="1"/>
    <col min="5" max="5" width="24" style="135" customWidth="1"/>
    <col min="6" max="6" width="18.5546875" style="135" bestFit="1" customWidth="1"/>
    <col min="7" max="7" width="16" style="135" bestFit="1" customWidth="1"/>
    <col min="8" max="13" width="15" style="135" bestFit="1" customWidth="1"/>
    <col min="14" max="16" width="15.44140625" style="135" bestFit="1" customWidth="1"/>
    <col min="17" max="16384" width="8.88671875" style="135"/>
  </cols>
  <sheetData>
    <row r="1" spans="1:15" ht="15.6" x14ac:dyDescent="0.3">
      <c r="A1" s="267" t="s">
        <v>142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</row>
    <row r="2" spans="1:15" ht="15" thickBot="1" x14ac:dyDescent="0.35">
      <c r="A2" s="200" t="s">
        <v>110</v>
      </c>
      <c r="B2" s="136"/>
      <c r="C2" s="137">
        <f>Assumptions!C3</f>
        <v>6000000000</v>
      </c>
      <c r="E2" s="114" t="s">
        <v>127</v>
      </c>
      <c r="F2" s="115" t="s">
        <v>68</v>
      </c>
      <c r="G2" s="115" t="s">
        <v>73</v>
      </c>
      <c r="H2" s="115" t="s">
        <v>74</v>
      </c>
      <c r="I2" s="115" t="s">
        <v>75</v>
      </c>
      <c r="J2" s="115" t="s">
        <v>76</v>
      </c>
      <c r="K2" s="115" t="s">
        <v>77</v>
      </c>
      <c r="L2" s="115" t="s">
        <v>78</v>
      </c>
      <c r="M2" s="115" t="s">
        <v>79</v>
      </c>
      <c r="N2" s="115" t="s">
        <v>80</v>
      </c>
      <c r="O2" s="116" t="s">
        <v>69</v>
      </c>
    </row>
    <row r="3" spans="1:15" x14ac:dyDescent="0.3">
      <c r="A3" s="201" t="s">
        <v>186</v>
      </c>
      <c r="B3" s="139"/>
      <c r="C3" s="121">
        <f>Assumptions!C4</f>
        <v>40</v>
      </c>
      <c r="E3" s="108" t="s">
        <v>128</v>
      </c>
      <c r="F3" s="99">
        <f>'Opex Schedule'!B2</f>
        <v>120000000</v>
      </c>
      <c r="G3" s="99">
        <f>'Opex Schedule'!C2</f>
        <v>122400000</v>
      </c>
      <c r="H3" s="99">
        <f>'Opex Schedule'!D2</f>
        <v>124848000</v>
      </c>
      <c r="I3" s="99">
        <f>'Opex Schedule'!E2</f>
        <v>127344960</v>
      </c>
      <c r="J3" s="99">
        <f>'Opex Schedule'!F2</f>
        <v>129891859.2</v>
      </c>
      <c r="K3" s="99">
        <f>'Opex Schedule'!G2</f>
        <v>132489696.384</v>
      </c>
      <c r="L3" s="99">
        <f>'Opex Schedule'!H2</f>
        <v>135139490.31168002</v>
      </c>
      <c r="M3" s="99">
        <f>'Opex Schedule'!I2</f>
        <v>137842280.11791363</v>
      </c>
      <c r="N3" s="99">
        <f>'Opex Schedule'!J2</f>
        <v>140599125.72027192</v>
      </c>
      <c r="O3" s="100">
        <f>'Opex Schedule'!K2</f>
        <v>143411108.23467734</v>
      </c>
    </row>
    <row r="4" spans="1:15" x14ac:dyDescent="0.3">
      <c r="A4" s="201"/>
      <c r="B4" s="139"/>
      <c r="C4" s="121"/>
      <c r="E4" s="109" t="s">
        <v>129</v>
      </c>
      <c r="F4" s="99">
        <f>'Opex Schedule'!B3</f>
        <v>36000000</v>
      </c>
      <c r="G4" s="99">
        <f>'Opex Schedule'!C3</f>
        <v>36720000</v>
      </c>
      <c r="H4" s="99">
        <f>'Opex Schedule'!D3</f>
        <v>37454400</v>
      </c>
      <c r="I4" s="99">
        <f>'Opex Schedule'!E3</f>
        <v>38203488</v>
      </c>
      <c r="J4" s="99">
        <f>'Opex Schedule'!F3</f>
        <v>38967557.759999998</v>
      </c>
      <c r="K4" s="99">
        <f>'Opex Schedule'!G3</f>
        <v>39746908.915199995</v>
      </c>
      <c r="L4" s="99">
        <f>'Opex Schedule'!H3</f>
        <v>40541847.093503997</v>
      </c>
      <c r="M4" s="99">
        <f>'Opex Schedule'!I3</f>
        <v>41352684.035374075</v>
      </c>
      <c r="N4" s="99">
        <f>'Opex Schedule'!J3</f>
        <v>42179737.71608156</v>
      </c>
      <c r="O4" s="100">
        <f>'Opex Schedule'!K3</f>
        <v>43023332.470403194</v>
      </c>
    </row>
    <row r="5" spans="1:15" x14ac:dyDescent="0.3">
      <c r="A5" s="201" t="s">
        <v>179</v>
      </c>
      <c r="B5" s="139"/>
      <c r="C5" s="121">
        <f>Assumptions!C6</f>
        <v>31</v>
      </c>
      <c r="E5" s="109" t="s">
        <v>130</v>
      </c>
      <c r="F5" s="99">
        <f>'Opex Schedule'!B4</f>
        <v>18000000</v>
      </c>
      <c r="G5" s="99">
        <f>'Opex Schedule'!C4</f>
        <v>18360000</v>
      </c>
      <c r="H5" s="99">
        <f>'Opex Schedule'!D4</f>
        <v>18727200</v>
      </c>
      <c r="I5" s="99">
        <f>'Opex Schedule'!E4</f>
        <v>19101744</v>
      </c>
      <c r="J5" s="99">
        <f>'Opex Schedule'!F4</f>
        <v>19483778.879999999</v>
      </c>
      <c r="K5" s="99">
        <f>'Opex Schedule'!G4</f>
        <v>19873454.457599998</v>
      </c>
      <c r="L5" s="99">
        <f>'Opex Schedule'!H4</f>
        <v>20270923.546751998</v>
      </c>
      <c r="M5" s="99">
        <f>'Opex Schedule'!I4</f>
        <v>20676342.017687038</v>
      </c>
      <c r="N5" s="99">
        <f>'Opex Schedule'!J4</f>
        <v>21089868.85804078</v>
      </c>
      <c r="O5" s="100">
        <f>'Opex Schedule'!K4</f>
        <v>21511666.235201597</v>
      </c>
    </row>
    <row r="6" spans="1:15" x14ac:dyDescent="0.3">
      <c r="A6" s="201" t="s">
        <v>111</v>
      </c>
      <c r="B6" s="139"/>
      <c r="C6" s="121">
        <f>Assumptions!C7</f>
        <v>4600000</v>
      </c>
      <c r="E6" s="109" t="s">
        <v>131</v>
      </c>
      <c r="F6" s="99">
        <f>'Opex Schedule'!B5</f>
        <v>36000000</v>
      </c>
      <c r="G6" s="99">
        <f>'Opex Schedule'!C5</f>
        <v>36720000</v>
      </c>
      <c r="H6" s="99">
        <f>'Opex Schedule'!D5</f>
        <v>37454400</v>
      </c>
      <c r="I6" s="99">
        <f>'Opex Schedule'!E5</f>
        <v>38203488</v>
      </c>
      <c r="J6" s="99">
        <f>'Opex Schedule'!F5</f>
        <v>38967557.759999998</v>
      </c>
      <c r="K6" s="99">
        <f>'Opex Schedule'!G5</f>
        <v>39746908.915199995</v>
      </c>
      <c r="L6" s="99">
        <f>'Opex Schedule'!H5</f>
        <v>40541847.093503997</v>
      </c>
      <c r="M6" s="99">
        <f>'Opex Schedule'!I5</f>
        <v>41352684.035374075</v>
      </c>
      <c r="N6" s="99">
        <f>'Opex Schedule'!J5</f>
        <v>42179737.71608156</v>
      </c>
      <c r="O6" s="100">
        <f>'Opex Schedule'!K5</f>
        <v>43023332.470403194</v>
      </c>
    </row>
    <row r="7" spans="1:15" x14ac:dyDescent="0.3">
      <c r="A7" s="201" t="s">
        <v>112</v>
      </c>
      <c r="B7" s="139"/>
      <c r="C7" s="121">
        <f>Assumptions!C8</f>
        <v>460000</v>
      </c>
      <c r="E7" s="109" t="s">
        <v>132</v>
      </c>
      <c r="F7" s="99">
        <f>'Opex Schedule'!B6</f>
        <v>7200000</v>
      </c>
      <c r="G7" s="99">
        <f>'Opex Schedule'!C6</f>
        <v>7344000</v>
      </c>
      <c r="H7" s="99">
        <f>'Opex Schedule'!D6</f>
        <v>7490880</v>
      </c>
      <c r="I7" s="99">
        <f>'Opex Schedule'!E6</f>
        <v>7640697.6000000006</v>
      </c>
      <c r="J7" s="99">
        <f>'Opex Schedule'!F6</f>
        <v>7793511.5520000011</v>
      </c>
      <c r="K7" s="99">
        <f>'Opex Schedule'!G6</f>
        <v>7949381.7830400011</v>
      </c>
      <c r="L7" s="99">
        <f>'Opex Schedule'!H6</f>
        <v>8108369.4187008012</v>
      </c>
      <c r="M7" s="99">
        <f>'Opex Schedule'!I6</f>
        <v>8270536.8070748178</v>
      </c>
      <c r="N7" s="99">
        <f>'Opex Schedule'!J6</f>
        <v>8435947.5432163142</v>
      </c>
      <c r="O7" s="100">
        <f>'Opex Schedule'!K6</f>
        <v>8604666.4940806404</v>
      </c>
    </row>
    <row r="8" spans="1:15" x14ac:dyDescent="0.3">
      <c r="A8" s="201"/>
      <c r="B8" s="139"/>
      <c r="C8" s="121"/>
      <c r="E8" s="109" t="s">
        <v>133</v>
      </c>
      <c r="F8" s="99">
        <f>'Opex Schedule'!B7</f>
        <v>24000000</v>
      </c>
      <c r="G8" s="99">
        <f>'Opex Schedule'!C7</f>
        <v>24480000</v>
      </c>
      <c r="H8" s="99">
        <f>'Opex Schedule'!D7</f>
        <v>24969600</v>
      </c>
      <c r="I8" s="99">
        <f>'Opex Schedule'!E7</f>
        <v>25468992</v>
      </c>
      <c r="J8" s="99">
        <f>'Opex Schedule'!F7</f>
        <v>25978371.84</v>
      </c>
      <c r="K8" s="99">
        <f>'Opex Schedule'!G7</f>
        <v>26497939.276799999</v>
      </c>
      <c r="L8" s="99">
        <f>'Opex Schedule'!H7</f>
        <v>27027898.062335998</v>
      </c>
      <c r="M8" s="99">
        <f>'Opex Schedule'!I7</f>
        <v>27568456.023582719</v>
      </c>
      <c r="N8" s="99">
        <f>'Opex Schedule'!J7</f>
        <v>28119825.144054376</v>
      </c>
      <c r="O8" s="100">
        <f>'Opex Schedule'!K7</f>
        <v>28682221.646935463</v>
      </c>
    </row>
    <row r="9" spans="1:15" x14ac:dyDescent="0.3">
      <c r="A9" s="201" t="s">
        <v>185</v>
      </c>
      <c r="B9" s="139"/>
      <c r="C9" s="121">
        <f>Assumptions!C10</f>
        <v>3</v>
      </c>
      <c r="E9" s="110" t="s">
        <v>134</v>
      </c>
      <c r="F9" s="102">
        <f>'Opex Schedule'!B8</f>
        <v>450000000</v>
      </c>
      <c r="G9" s="102">
        <f>'Opex Schedule'!C8</f>
        <v>492375000</v>
      </c>
      <c r="H9" s="102">
        <f>'Opex Schedule'!D8</f>
        <v>497298750</v>
      </c>
      <c r="I9" s="102">
        <f>'Opex Schedule'!E8</f>
        <v>502271737.5</v>
      </c>
      <c r="J9" s="102">
        <f>'Opex Schedule'!F8</f>
        <v>507294454.875</v>
      </c>
      <c r="K9" s="102">
        <f>'Opex Schedule'!G8</f>
        <v>512367399.42374998</v>
      </c>
      <c r="L9" s="102">
        <f>'Opex Schedule'!H8</f>
        <v>517491073.41798747</v>
      </c>
      <c r="M9" s="102">
        <f>'Opex Schedule'!I8</f>
        <v>522665984.15216732</v>
      </c>
      <c r="N9" s="102">
        <f>'Opex Schedule'!J8</f>
        <v>527892643.993689</v>
      </c>
      <c r="O9" s="103">
        <f>'Opex Schedule'!K8</f>
        <v>533171570.43362588</v>
      </c>
    </row>
    <row r="10" spans="1:15" x14ac:dyDescent="0.3">
      <c r="A10" s="201" t="s">
        <v>113</v>
      </c>
      <c r="B10" s="139"/>
      <c r="C10" s="121">
        <f>Assumptions!C11</f>
        <v>5000000</v>
      </c>
      <c r="E10" s="111" t="s">
        <v>135</v>
      </c>
      <c r="F10" s="99">
        <f>SUM(F3:F9)</f>
        <v>691200000</v>
      </c>
      <c r="G10" s="99">
        <f t="shared" ref="G10:O10" si="0">SUM(G3:G9)</f>
        <v>738399000</v>
      </c>
      <c r="H10" s="99">
        <f t="shared" si="0"/>
        <v>748243230</v>
      </c>
      <c r="I10" s="99">
        <f t="shared" si="0"/>
        <v>758235107.10000002</v>
      </c>
      <c r="J10" s="99">
        <f t="shared" si="0"/>
        <v>768377091.86699998</v>
      </c>
      <c r="K10" s="99">
        <f t="shared" si="0"/>
        <v>778671689.15558994</v>
      </c>
      <c r="L10" s="99">
        <f t="shared" si="0"/>
        <v>789121448.94446433</v>
      </c>
      <c r="M10" s="99">
        <f t="shared" si="0"/>
        <v>799728967.1891737</v>
      </c>
      <c r="N10" s="99">
        <f t="shared" si="0"/>
        <v>810496886.69143558</v>
      </c>
      <c r="O10" s="100">
        <f t="shared" si="0"/>
        <v>821427897.98532724</v>
      </c>
    </row>
    <row r="11" spans="1:15" x14ac:dyDescent="0.3">
      <c r="A11" s="201" t="s">
        <v>114</v>
      </c>
      <c r="B11" s="139"/>
      <c r="C11" s="121">
        <f>Assumptions!C12</f>
        <v>500000</v>
      </c>
      <c r="E11" s="109"/>
      <c r="F11" s="99"/>
      <c r="G11" s="99"/>
      <c r="H11" s="99"/>
      <c r="I11" s="99"/>
      <c r="J11" s="99"/>
      <c r="K11" s="99"/>
      <c r="L11" s="99"/>
      <c r="M11" s="99"/>
      <c r="N11" s="99"/>
      <c r="O11" s="100"/>
    </row>
    <row r="12" spans="1:15" x14ac:dyDescent="0.3">
      <c r="A12" s="201"/>
      <c r="B12" s="139"/>
      <c r="C12" s="121"/>
      <c r="E12" s="109" t="s">
        <v>136</v>
      </c>
      <c r="F12" s="99">
        <f>'Opex Schedule'!B10</f>
        <v>30000000</v>
      </c>
      <c r="G12" s="99">
        <f>'Opex Schedule'!C10</f>
        <v>30000000</v>
      </c>
      <c r="H12" s="99">
        <f>'Opex Schedule'!D10</f>
        <v>30000000</v>
      </c>
      <c r="I12" s="99">
        <f>'Opex Schedule'!E10</f>
        <v>30000000</v>
      </c>
      <c r="J12" s="99">
        <f>'Opex Schedule'!F10</f>
        <v>30000000</v>
      </c>
      <c r="K12" s="99">
        <f>'Opex Schedule'!G10</f>
        <v>30000000</v>
      </c>
      <c r="L12" s="99">
        <f>'Opex Schedule'!H10</f>
        <v>30000000</v>
      </c>
      <c r="M12" s="99">
        <f>'Opex Schedule'!I10</f>
        <v>30000000</v>
      </c>
      <c r="N12" s="99">
        <f>'Opex Schedule'!J10</f>
        <v>30000000</v>
      </c>
      <c r="O12" s="100">
        <f>'Opex Schedule'!K10</f>
        <v>30000000</v>
      </c>
    </row>
    <row r="13" spans="1:15" x14ac:dyDescent="0.3">
      <c r="A13" s="201" t="s">
        <v>178</v>
      </c>
      <c r="B13" s="207"/>
      <c r="C13" s="121">
        <f>Assumptions!C14</f>
        <v>2</v>
      </c>
      <c r="E13" s="109" t="s">
        <v>137</v>
      </c>
      <c r="F13" s="99">
        <f>'Opex Schedule'!B11</f>
        <v>12000000</v>
      </c>
      <c r="G13" s="99">
        <f>'Opex Schedule'!C11</f>
        <v>12240000</v>
      </c>
      <c r="H13" s="99">
        <f>'Opex Schedule'!D11</f>
        <v>12484800</v>
      </c>
      <c r="I13" s="99">
        <f>'Opex Schedule'!E11</f>
        <v>12734496</v>
      </c>
      <c r="J13" s="99">
        <f>'Opex Schedule'!F11</f>
        <v>12989185.92</v>
      </c>
      <c r="K13" s="99">
        <f>'Opex Schedule'!G11</f>
        <v>13248969.6384</v>
      </c>
      <c r="L13" s="99">
        <f>'Opex Schedule'!H11</f>
        <v>13513949.031167999</v>
      </c>
      <c r="M13" s="99">
        <f>'Opex Schedule'!I11</f>
        <v>13784228.01179136</v>
      </c>
      <c r="N13" s="99">
        <f>'Opex Schedule'!J11</f>
        <v>14059912.572027188</v>
      </c>
      <c r="O13" s="100">
        <f>'Opex Schedule'!K11</f>
        <v>14341110.823467731</v>
      </c>
    </row>
    <row r="14" spans="1:15" x14ac:dyDescent="0.3">
      <c r="A14" s="201" t="s">
        <v>181</v>
      </c>
      <c r="B14" s="207"/>
      <c r="C14" s="121">
        <f>Assumptions!C15</f>
        <v>5900000</v>
      </c>
      <c r="E14" s="109"/>
      <c r="F14" s="99"/>
      <c r="G14" s="99"/>
      <c r="H14" s="99"/>
      <c r="I14" s="99"/>
      <c r="J14" s="99"/>
      <c r="K14" s="99"/>
      <c r="L14" s="99"/>
      <c r="M14" s="99"/>
      <c r="N14" s="99"/>
      <c r="O14" s="100"/>
    </row>
    <row r="15" spans="1:15" x14ac:dyDescent="0.3">
      <c r="A15" s="201" t="s">
        <v>182</v>
      </c>
      <c r="B15" s="207"/>
      <c r="C15" s="121">
        <f>Assumptions!C16</f>
        <v>590000</v>
      </c>
      <c r="E15" s="110" t="s">
        <v>138</v>
      </c>
      <c r="F15" s="102">
        <f>'Opex Schedule'!B12</f>
        <v>12000000</v>
      </c>
      <c r="G15" s="102">
        <f>'Opex Schedule'!C12</f>
        <v>12240000</v>
      </c>
      <c r="H15" s="102">
        <f>'Opex Schedule'!D12</f>
        <v>12484800</v>
      </c>
      <c r="I15" s="102">
        <f>'Opex Schedule'!E12</f>
        <v>12734496</v>
      </c>
      <c r="J15" s="102">
        <f>'Opex Schedule'!F12</f>
        <v>12989185.92</v>
      </c>
      <c r="K15" s="102">
        <f>'Opex Schedule'!G12</f>
        <v>13248969.6384</v>
      </c>
      <c r="L15" s="102">
        <f>'Opex Schedule'!H12</f>
        <v>13513949.031167999</v>
      </c>
      <c r="M15" s="102">
        <f>'Opex Schedule'!I12</f>
        <v>13784228.01179136</v>
      </c>
      <c r="N15" s="102">
        <f>'Opex Schedule'!J12</f>
        <v>14059912.572027188</v>
      </c>
      <c r="O15" s="103">
        <f>'Opex Schedule'!K12</f>
        <v>14341110.823467731</v>
      </c>
    </row>
    <row r="16" spans="1:15" ht="15" thickBot="1" x14ac:dyDescent="0.35">
      <c r="A16" s="138"/>
      <c r="B16" s="207"/>
      <c r="C16" s="208"/>
      <c r="E16" s="112" t="s">
        <v>139</v>
      </c>
      <c r="F16" s="104">
        <f>SUM(F11:F15)</f>
        <v>54000000</v>
      </c>
      <c r="G16" s="104">
        <f t="shared" ref="G16:O16" si="1">SUM(G11:G15)</f>
        <v>54480000</v>
      </c>
      <c r="H16" s="104">
        <f t="shared" si="1"/>
        <v>54969600</v>
      </c>
      <c r="I16" s="104">
        <f t="shared" si="1"/>
        <v>55468992</v>
      </c>
      <c r="J16" s="104">
        <f t="shared" si="1"/>
        <v>55978371.840000004</v>
      </c>
      <c r="K16" s="104">
        <f t="shared" si="1"/>
        <v>56497939.276800007</v>
      </c>
      <c r="L16" s="104">
        <f t="shared" si="1"/>
        <v>57027898.062335998</v>
      </c>
      <c r="M16" s="104">
        <f t="shared" si="1"/>
        <v>57568456.023582727</v>
      </c>
      <c r="N16" s="104">
        <f t="shared" si="1"/>
        <v>58119825.144054383</v>
      </c>
      <c r="O16" s="105">
        <f t="shared" si="1"/>
        <v>58682221.646935463</v>
      </c>
    </row>
    <row r="17" spans="1:16" x14ac:dyDescent="0.3">
      <c r="A17" s="201" t="s">
        <v>180</v>
      </c>
      <c r="B17" s="139"/>
      <c r="C17" s="121">
        <f>Assumptions!C18</f>
        <v>4</v>
      </c>
      <c r="E17" s="113" t="s">
        <v>140</v>
      </c>
      <c r="F17" s="106">
        <f>F10+F16</f>
        <v>745200000</v>
      </c>
      <c r="G17" s="106">
        <f t="shared" ref="G17:O17" si="2">G10+G16</f>
        <v>792879000</v>
      </c>
      <c r="H17" s="106">
        <f t="shared" si="2"/>
        <v>803212830</v>
      </c>
      <c r="I17" s="106">
        <f t="shared" si="2"/>
        <v>813704099.10000002</v>
      </c>
      <c r="J17" s="106">
        <f t="shared" si="2"/>
        <v>824355463.70700002</v>
      </c>
      <c r="K17" s="106">
        <f t="shared" si="2"/>
        <v>835169628.43238997</v>
      </c>
      <c r="L17" s="106">
        <f t="shared" si="2"/>
        <v>846149347.00680029</v>
      </c>
      <c r="M17" s="106">
        <f t="shared" si="2"/>
        <v>857297423.2127564</v>
      </c>
      <c r="N17" s="106">
        <f t="shared" si="2"/>
        <v>868616711.83548999</v>
      </c>
      <c r="O17" s="107">
        <f t="shared" si="2"/>
        <v>880110119.63226271</v>
      </c>
    </row>
    <row r="18" spans="1:16" x14ac:dyDescent="0.3">
      <c r="A18" s="138" t="s">
        <v>183</v>
      </c>
      <c r="B18" s="207"/>
      <c r="C18" s="121">
        <f>Assumptions!C19</f>
        <v>5500000</v>
      </c>
    </row>
    <row r="19" spans="1:16" x14ac:dyDescent="0.3">
      <c r="A19" s="138" t="s">
        <v>184</v>
      </c>
      <c r="B19" s="207"/>
      <c r="C19" s="121">
        <f>Assumptions!C20</f>
        <v>550000</v>
      </c>
      <c r="E19" s="163" t="s">
        <v>81</v>
      </c>
      <c r="F19" s="164" t="s">
        <v>67</v>
      </c>
      <c r="G19" s="165" t="s">
        <v>68</v>
      </c>
      <c r="H19" s="164" t="s">
        <v>73</v>
      </c>
      <c r="I19" s="165" t="s">
        <v>74</v>
      </c>
      <c r="J19" s="164" t="s">
        <v>75</v>
      </c>
      <c r="K19" s="165" t="s">
        <v>76</v>
      </c>
      <c r="L19" s="164" t="s">
        <v>77</v>
      </c>
      <c r="M19" s="165" t="s">
        <v>78</v>
      </c>
      <c r="N19" s="164" t="s">
        <v>79</v>
      </c>
      <c r="O19" s="165" t="s">
        <v>80</v>
      </c>
      <c r="P19" s="166" t="s">
        <v>69</v>
      </c>
    </row>
    <row r="20" spans="1:16" x14ac:dyDescent="0.3">
      <c r="A20" s="138"/>
      <c r="B20" s="207"/>
      <c r="C20" s="208"/>
      <c r="E20" s="122" t="s">
        <v>4</v>
      </c>
      <c r="F20" s="123"/>
      <c r="G20" s="123">
        <f>'Annual Projections'!C2</f>
        <v>2470017000</v>
      </c>
      <c r="H20" s="123">
        <f>'Annual Projections'!D2</f>
        <v>2470017000</v>
      </c>
      <c r="I20" s="123">
        <f>'Annual Projections'!E2</f>
        <v>2544117510</v>
      </c>
      <c r="J20" s="123">
        <f>'Annual Projections'!F2</f>
        <v>2544117510</v>
      </c>
      <c r="K20" s="123">
        <f>'Annual Projections'!G2</f>
        <v>2620441035.3000002</v>
      </c>
      <c r="L20" s="123">
        <f>'Annual Projections'!H2</f>
        <v>2620441035.3000002</v>
      </c>
      <c r="M20" s="123">
        <f>'Annual Projections'!I2</f>
        <v>2699054266.3590002</v>
      </c>
      <c r="N20" s="123">
        <f>'Annual Projections'!J2</f>
        <v>2699054266.3590002</v>
      </c>
      <c r="O20" s="123">
        <f>'Annual Projections'!K2</f>
        <v>2780025894.3497701</v>
      </c>
      <c r="P20" s="130">
        <f>'Annual Projections'!L2</f>
        <v>2780025894.3497701</v>
      </c>
    </row>
    <row r="21" spans="1:16" x14ac:dyDescent="0.3">
      <c r="A21" s="201" t="s">
        <v>115</v>
      </c>
      <c r="B21" s="139"/>
      <c r="C21" s="140">
        <f>Assumptions!C22</f>
        <v>0.8</v>
      </c>
      <c r="E21" s="126" t="s">
        <v>5</v>
      </c>
      <c r="F21" s="123"/>
      <c r="G21" s="123">
        <f>'Annual Projections'!C3</f>
        <v>0</v>
      </c>
      <c r="H21" s="123">
        <f>'Annual Projections'!D3</f>
        <v>0</v>
      </c>
      <c r="I21" s="123">
        <f>'Annual Projections'!E3</f>
        <v>0</v>
      </c>
      <c r="J21" s="123">
        <f>'Annual Projections'!F3</f>
        <v>0</v>
      </c>
      <c r="K21" s="123">
        <f>'Annual Projections'!G3</f>
        <v>0</v>
      </c>
      <c r="L21" s="123">
        <f>'Annual Projections'!H3</f>
        <v>0</v>
      </c>
      <c r="M21" s="123">
        <f>'Annual Projections'!I3</f>
        <v>0</v>
      </c>
      <c r="N21" s="123">
        <f>'Annual Projections'!J3</f>
        <v>0</v>
      </c>
      <c r="O21" s="123">
        <f>'Annual Projections'!K3</f>
        <v>0</v>
      </c>
      <c r="P21" s="130">
        <f>'Annual Projections'!L3</f>
        <v>0</v>
      </c>
    </row>
    <row r="22" spans="1:16" x14ac:dyDescent="0.3">
      <c r="A22" s="201" t="s">
        <v>116</v>
      </c>
      <c r="B22" s="139"/>
      <c r="C22" s="140">
        <f>Assumptions!C23</f>
        <v>0.2</v>
      </c>
      <c r="E22" s="126" t="s">
        <v>6</v>
      </c>
      <c r="F22" s="123"/>
      <c r="G22" s="123">
        <f>'Annual Projections'!C4</f>
        <v>-145310880</v>
      </c>
      <c r="H22" s="123">
        <f>'Annual Projections'!D4</f>
        <v>-145310880</v>
      </c>
      <c r="I22" s="123">
        <f>'Annual Projections'!E4</f>
        <v>-149670206.40000001</v>
      </c>
      <c r="J22" s="123">
        <f>'Annual Projections'!F4</f>
        <v>-149670206.40000001</v>
      </c>
      <c r="K22" s="123">
        <f>'Annual Projections'!G4</f>
        <v>-154160312.59200001</v>
      </c>
      <c r="L22" s="123">
        <f>'Annual Projections'!H4</f>
        <v>-154160312.59200001</v>
      </c>
      <c r="M22" s="123">
        <f>'Annual Projections'!I4</f>
        <v>-158785121.96976</v>
      </c>
      <c r="N22" s="123">
        <f>'Annual Projections'!J4</f>
        <v>-158785121.96976</v>
      </c>
      <c r="O22" s="123">
        <f>'Annual Projections'!K4</f>
        <v>-163548675.62885281</v>
      </c>
      <c r="P22" s="130">
        <f>'Annual Projections'!L4</f>
        <v>-163548675.62885281</v>
      </c>
    </row>
    <row r="23" spans="1:16" x14ac:dyDescent="0.3">
      <c r="A23" s="201" t="s">
        <v>117</v>
      </c>
      <c r="B23" s="139"/>
      <c r="C23" s="140">
        <f>Assumptions!C24</f>
        <v>0.85</v>
      </c>
      <c r="E23" s="122" t="s">
        <v>7</v>
      </c>
      <c r="F23" s="123"/>
      <c r="G23" s="124">
        <f>SUM(G20:G22)</f>
        <v>2324706120</v>
      </c>
      <c r="H23" s="124">
        <f t="shared" ref="H23:P23" si="3">SUM(H20:H22)</f>
        <v>2324706120</v>
      </c>
      <c r="I23" s="124">
        <f t="shared" si="3"/>
        <v>2394447303.5999999</v>
      </c>
      <c r="J23" s="124">
        <f t="shared" si="3"/>
        <v>2394447303.5999999</v>
      </c>
      <c r="K23" s="124">
        <f t="shared" si="3"/>
        <v>2466280722.7080002</v>
      </c>
      <c r="L23" s="124">
        <f t="shared" si="3"/>
        <v>2466280722.7080002</v>
      </c>
      <c r="M23" s="124">
        <f t="shared" si="3"/>
        <v>2540269144.3892403</v>
      </c>
      <c r="N23" s="124">
        <f t="shared" si="3"/>
        <v>2540269144.3892403</v>
      </c>
      <c r="O23" s="124">
        <f t="shared" si="3"/>
        <v>2616477218.7209172</v>
      </c>
      <c r="P23" s="100">
        <f t="shared" si="3"/>
        <v>2616477218.7209172</v>
      </c>
    </row>
    <row r="24" spans="1:16" x14ac:dyDescent="0.3">
      <c r="A24" s="201" t="s">
        <v>118</v>
      </c>
      <c r="B24" s="139"/>
      <c r="C24" s="140">
        <f>Assumptions!C25</f>
        <v>0.65</v>
      </c>
      <c r="E24" s="127" t="s">
        <v>64</v>
      </c>
      <c r="F24" s="123"/>
      <c r="G24" s="123">
        <f>'Annual Projections'!C6</f>
        <v>-835200000</v>
      </c>
      <c r="H24" s="123">
        <f>'Annual Projections'!D6</f>
        <v>-884679000</v>
      </c>
      <c r="I24" s="123">
        <f>'Annual Projections'!E6</f>
        <v>-896848830</v>
      </c>
      <c r="J24" s="123">
        <f>'Annual Projections'!F6</f>
        <v>-909212819.10000002</v>
      </c>
      <c r="K24" s="123">
        <f>'Annual Projections'!G6</f>
        <v>-921774358.10699999</v>
      </c>
      <c r="L24" s="123">
        <f>'Annual Projections'!H6</f>
        <v>-934536900.72038996</v>
      </c>
      <c r="M24" s="123">
        <f>'Annual Projections'!I6</f>
        <v>-947503964.74056029</v>
      </c>
      <c r="N24" s="123">
        <f>'Annual Projections'!J6</f>
        <v>-960679133.30119157</v>
      </c>
      <c r="O24" s="123">
        <f>'Annual Projections'!K6</f>
        <v>-974066056.1256938</v>
      </c>
      <c r="P24" s="130">
        <f>'Annual Projections'!L6</f>
        <v>-987668450.80827069</v>
      </c>
    </row>
    <row r="25" spans="1:16" s="157" customFormat="1" x14ac:dyDescent="0.3">
      <c r="A25" s="201"/>
      <c r="B25" s="139"/>
      <c r="C25" s="121"/>
      <c r="E25" s="158" t="s">
        <v>65</v>
      </c>
      <c r="F25" s="159"/>
      <c r="G25" s="266">
        <f>SUM(G23:G24)</f>
        <v>1489506120</v>
      </c>
      <c r="H25" s="160">
        <f t="shared" ref="H25:P25" si="4">SUM(H23:H24)</f>
        <v>1440027120</v>
      </c>
      <c r="I25" s="160">
        <f t="shared" si="4"/>
        <v>1497598473.5999999</v>
      </c>
      <c r="J25" s="160">
        <f t="shared" si="4"/>
        <v>1485234484.5</v>
      </c>
      <c r="K25" s="160">
        <f t="shared" si="4"/>
        <v>1544506364.6010003</v>
      </c>
      <c r="L25" s="160">
        <f t="shared" si="4"/>
        <v>1531743821.9876103</v>
      </c>
      <c r="M25" s="160">
        <f t="shared" si="4"/>
        <v>1592765179.64868</v>
      </c>
      <c r="N25" s="160">
        <f t="shared" si="4"/>
        <v>1579590011.0880487</v>
      </c>
      <c r="O25" s="160">
        <f t="shared" si="4"/>
        <v>1642411162.5952234</v>
      </c>
      <c r="P25" s="161">
        <f t="shared" si="4"/>
        <v>1628808767.9126465</v>
      </c>
    </row>
    <row r="26" spans="1:16" x14ac:dyDescent="0.3">
      <c r="A26" s="201"/>
      <c r="B26" s="139"/>
      <c r="C26" s="121"/>
      <c r="E26" s="126" t="s">
        <v>10</v>
      </c>
      <c r="F26" s="123"/>
      <c r="G26" s="124">
        <f>'Annual Projections'!C8</f>
        <v>0</v>
      </c>
      <c r="H26" s="124">
        <f>'Annual Projections'!D8</f>
        <v>0</v>
      </c>
      <c r="I26" s="124">
        <f>'Annual Projections'!E8</f>
        <v>0</v>
      </c>
      <c r="J26" s="124">
        <f>'Annual Projections'!F8</f>
        <v>0</v>
      </c>
      <c r="K26" s="124">
        <f>'Annual Projections'!G8</f>
        <v>0</v>
      </c>
      <c r="L26" s="124">
        <f>'Annual Projections'!H8</f>
        <v>0</v>
      </c>
      <c r="M26" s="124">
        <f>'Annual Projections'!I8</f>
        <v>0</v>
      </c>
      <c r="N26" s="124">
        <f>'Annual Projections'!J8</f>
        <v>0</v>
      </c>
      <c r="O26" s="124">
        <f>'Annual Projections'!K8</f>
        <v>0</v>
      </c>
      <c r="P26" s="100">
        <f>'Annual Projections'!L8</f>
        <v>0</v>
      </c>
    </row>
    <row r="27" spans="1:16" x14ac:dyDescent="0.3">
      <c r="A27" s="201" t="s">
        <v>119</v>
      </c>
      <c r="B27" s="139"/>
      <c r="C27" s="140">
        <f>Assumptions!C28</f>
        <v>1</v>
      </c>
      <c r="E27" s="154" t="s">
        <v>200</v>
      </c>
      <c r="G27" s="124">
        <f>'Annual Projections'!C9</f>
        <v>-357670772.87298095</v>
      </c>
      <c r="H27" s="124">
        <f>'Annual Projections'!D9</f>
        <v>-357670772.87298095</v>
      </c>
      <c r="I27" s="124">
        <f>'Annual Projections'!E9</f>
        <v>-357670772.87298095</v>
      </c>
      <c r="J27" s="124">
        <f>'Annual Projections'!F9</f>
        <v>-357670772.87298095</v>
      </c>
      <c r="K27" s="124">
        <f>'Annual Projections'!G9</f>
        <v>-357670772.87298095</v>
      </c>
      <c r="L27" s="124">
        <f>'Annual Projections'!H9</f>
        <v>-357670772.87298095</v>
      </c>
      <c r="M27" s="124">
        <f>'Annual Projections'!I9</f>
        <v>-357670772.87298095</v>
      </c>
      <c r="N27" s="124">
        <f>'Annual Projections'!J9</f>
        <v>-357670772.87298095</v>
      </c>
      <c r="O27" s="124">
        <f>'Annual Projections'!K9</f>
        <v>-357670772.87298095</v>
      </c>
      <c r="P27" s="100">
        <f>'Annual Projections'!L9</f>
        <v>-357670772.87298095</v>
      </c>
    </row>
    <row r="28" spans="1:16" x14ac:dyDescent="0.3">
      <c r="A28" s="201" t="s">
        <v>120</v>
      </c>
      <c r="B28" s="139"/>
      <c r="C28" s="140">
        <f>Assumptions!C29</f>
        <v>0.2</v>
      </c>
      <c r="E28" s="122" t="s">
        <v>201</v>
      </c>
      <c r="F28" s="123"/>
      <c r="G28" s="124">
        <f>SUM(G25:G27)</f>
        <v>1131835347.1270189</v>
      </c>
      <c r="H28" s="124">
        <f t="shared" ref="H28:P28" si="5">SUM(H25:H27)</f>
        <v>1082356347.1270189</v>
      </c>
      <c r="I28" s="124">
        <f t="shared" si="5"/>
        <v>1139927700.7270188</v>
      </c>
      <c r="J28" s="124">
        <f t="shared" si="5"/>
        <v>1127563711.6270189</v>
      </c>
      <c r="K28" s="124">
        <f t="shared" si="5"/>
        <v>1186835591.7280192</v>
      </c>
      <c r="L28" s="124">
        <f t="shared" si="5"/>
        <v>1174073049.1146293</v>
      </c>
      <c r="M28" s="124">
        <f t="shared" si="5"/>
        <v>1235094406.7756991</v>
      </c>
      <c r="N28" s="124">
        <f t="shared" si="5"/>
        <v>1221919238.2150679</v>
      </c>
      <c r="O28" s="124">
        <f t="shared" si="5"/>
        <v>1284740389.7222424</v>
      </c>
      <c r="P28" s="100">
        <f t="shared" si="5"/>
        <v>1271137995.0396657</v>
      </c>
    </row>
    <row r="29" spans="1:16" x14ac:dyDescent="0.3">
      <c r="A29" s="201" t="s">
        <v>121</v>
      </c>
      <c r="B29" s="139"/>
      <c r="C29" s="140">
        <f>Assumptions!C30</f>
        <v>0.8</v>
      </c>
      <c r="E29" s="128" t="s">
        <v>202</v>
      </c>
      <c r="F29" s="124">
        <f>'Annual Projections'!B11</f>
        <v>-3600000000</v>
      </c>
      <c r="G29" s="124">
        <f>'Annual Projections'!C11</f>
        <v>1131835347.1270189</v>
      </c>
      <c r="H29" s="124">
        <f>'Annual Projections'!D11</f>
        <v>1082356347.1270189</v>
      </c>
      <c r="I29" s="124">
        <f>'Annual Projections'!E11</f>
        <v>1139927700.7270188</v>
      </c>
      <c r="J29" s="124">
        <f>'Annual Projections'!F11</f>
        <v>1127563711.6270189</v>
      </c>
      <c r="K29" s="124">
        <f>'Annual Projections'!G11</f>
        <v>1186835591.7280192</v>
      </c>
      <c r="L29" s="124">
        <f>'Annual Projections'!H11</f>
        <v>1174073049.1146293</v>
      </c>
      <c r="M29" s="124">
        <f>'Annual Projections'!I11</f>
        <v>1235094406.7756991</v>
      </c>
      <c r="N29" s="124">
        <f>'Annual Projections'!J11</f>
        <v>1221919238.2150679</v>
      </c>
      <c r="O29" s="124">
        <f>'Annual Projections'!K11</f>
        <v>1284740389.7222424</v>
      </c>
      <c r="P29" s="100">
        <f>'Annual Projections'!L11</f>
        <v>1271137995.0396657</v>
      </c>
    </row>
    <row r="30" spans="1:16" x14ac:dyDescent="0.3">
      <c r="A30" s="201"/>
      <c r="B30" s="139"/>
      <c r="C30" s="121"/>
      <c r="D30" s="124"/>
      <c r="E30" s="131" t="s">
        <v>82</v>
      </c>
      <c r="F30" s="132">
        <f>'Annual Projections'!B12</f>
        <v>-3600000000</v>
      </c>
      <c r="G30" s="132">
        <f>'Annual Projections'!C12</f>
        <v>-2468164652.8729811</v>
      </c>
      <c r="H30" s="132">
        <f>'Annual Projections'!D12</f>
        <v>-1385808305.7459621</v>
      </c>
      <c r="I30" s="132">
        <f>'Annual Projections'!E12</f>
        <v>-245880605.01894331</v>
      </c>
      <c r="J30" s="132">
        <f>'Annual Projections'!F12</f>
        <v>881683106.60807562</v>
      </c>
      <c r="K30" s="132">
        <f>'Annual Projections'!G12</f>
        <v>2068518698.3360949</v>
      </c>
      <c r="L30" s="132">
        <f>'Annual Projections'!H12</f>
        <v>3242591747.4507241</v>
      </c>
      <c r="M30" s="132">
        <f>'Annual Projections'!I12</f>
        <v>4477686154.2264233</v>
      </c>
      <c r="N30" s="132">
        <f>'Annual Projections'!J12</f>
        <v>5699605392.4414911</v>
      </c>
      <c r="O30" s="132">
        <f>'Annual Projections'!K12</f>
        <v>6984345782.1637335</v>
      </c>
      <c r="P30" s="162">
        <f>'Annual Projections'!L12</f>
        <v>8255483777.2033997</v>
      </c>
    </row>
    <row r="31" spans="1:16" x14ac:dyDescent="0.3">
      <c r="A31" s="201"/>
      <c r="B31" s="139"/>
      <c r="C31" s="121"/>
    </row>
    <row r="32" spans="1:16" x14ac:dyDescent="0.3">
      <c r="A32" s="202" t="s">
        <v>122</v>
      </c>
      <c r="B32" s="155"/>
      <c r="C32" s="156">
        <f>Assumptions!C33</f>
        <v>0.2</v>
      </c>
      <c r="E32" s="147" t="s">
        <v>203</v>
      </c>
      <c r="F32" s="148">
        <f>IRR(F29:P29)</f>
        <v>0.29480111473941872</v>
      </c>
    </row>
    <row r="33" spans="1:9" x14ac:dyDescent="0.3">
      <c r="A33" s="201" t="s">
        <v>123</v>
      </c>
      <c r="B33" s="139"/>
      <c r="C33" s="167">
        <f>Assumptions!C34</f>
        <v>0</v>
      </c>
      <c r="E33" s="149" t="s">
        <v>141</v>
      </c>
      <c r="F33" s="150">
        <f>(H25+H26)/Assumptions!$C$3</f>
        <v>0.24000452</v>
      </c>
    </row>
    <row r="34" spans="1:9" x14ac:dyDescent="0.3">
      <c r="A34" s="201" t="s">
        <v>124</v>
      </c>
      <c r="B34" s="139"/>
      <c r="C34" s="167">
        <f>Assumptions!C35</f>
        <v>0</v>
      </c>
      <c r="E34" s="151" t="s">
        <v>72</v>
      </c>
      <c r="F34" s="152" cm="1">
        <f t="array" ref="F34">(COUNTIF(F30:P30,"&lt;0")-1) + (-INDEX(F30:P30, COUNTIF(F30:P30,"&lt;0")) / INDEX(F29:P29, COUNTIF(F30:P30,"&lt;0")+1))</f>
        <v>3.2180636025117817</v>
      </c>
    </row>
    <row r="35" spans="1:9" x14ac:dyDescent="0.3">
      <c r="A35" s="201"/>
      <c r="B35" s="139"/>
      <c r="C35" s="121"/>
    </row>
    <row r="36" spans="1:9" x14ac:dyDescent="0.3">
      <c r="A36" s="201" t="s">
        <v>187</v>
      </c>
      <c r="B36" s="139"/>
      <c r="C36" s="140">
        <f>Assumptions!C37</f>
        <v>0.01</v>
      </c>
      <c r="E36" s="168" t="s">
        <v>204</v>
      </c>
      <c r="F36" s="169">
        <f>NPV(WACC!C13,G29:P29)+F29</f>
        <v>3098403781.2643414</v>
      </c>
    </row>
    <row r="37" spans="1:9" x14ac:dyDescent="0.3">
      <c r="A37" s="201" t="s">
        <v>125</v>
      </c>
      <c r="B37" s="139"/>
      <c r="C37" s="140">
        <f>Assumptions!C38</f>
        <v>0.03</v>
      </c>
    </row>
    <row r="38" spans="1:9" x14ac:dyDescent="0.3">
      <c r="A38" s="203" t="s">
        <v>126</v>
      </c>
      <c r="B38" s="141"/>
      <c r="C38" s="142">
        <f>Assumptions!C39</f>
        <v>0.02</v>
      </c>
    </row>
    <row r="41" spans="1:9" x14ac:dyDescent="0.3">
      <c r="H41" s="153"/>
      <c r="I41" s="153"/>
    </row>
    <row r="42" spans="1:9" x14ac:dyDescent="0.3">
      <c r="H42" s="124"/>
      <c r="I42" s="153"/>
    </row>
    <row r="43" spans="1:9" x14ac:dyDescent="0.3">
      <c r="I43" s="153"/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016A-7C71-4706-915C-BD6B327B2FFF}">
  <dimension ref="B1:E13"/>
  <sheetViews>
    <sheetView zoomScale="160" zoomScaleNormal="160" workbookViewId="0">
      <selection activeCell="C6" sqref="C6"/>
    </sheetView>
  </sheetViews>
  <sheetFormatPr defaultRowHeight="14.4" x14ac:dyDescent="0.3"/>
  <cols>
    <col min="1" max="1" width="8.88671875" style="135"/>
    <col min="2" max="2" width="17.21875" style="135" bestFit="1" customWidth="1"/>
    <col min="3" max="3" width="14" style="135" bestFit="1" customWidth="1"/>
    <col min="4" max="4" width="8.88671875" style="135"/>
    <col min="5" max="5" width="14" style="135" bestFit="1" customWidth="1"/>
    <col min="6" max="16384" width="8.88671875" style="135"/>
  </cols>
  <sheetData>
    <row r="1" spans="2:5" ht="15" thickBot="1" x14ac:dyDescent="0.35"/>
    <row r="2" spans="2:5" x14ac:dyDescent="0.3">
      <c r="B2" s="251" t="s">
        <v>144</v>
      </c>
      <c r="C2" s="265">
        <v>6.8000000000000005E-2</v>
      </c>
    </row>
    <row r="3" spans="2:5" x14ac:dyDescent="0.3">
      <c r="B3" s="252" t="s">
        <v>145</v>
      </c>
      <c r="C3" s="264">
        <v>0.11</v>
      </c>
    </row>
    <row r="4" spans="2:5" x14ac:dyDescent="0.3">
      <c r="B4" s="252" t="s">
        <v>146</v>
      </c>
      <c r="C4" s="192">
        <v>1.1499999999999999</v>
      </c>
    </row>
    <row r="5" spans="2:5" x14ac:dyDescent="0.3">
      <c r="B5" s="252" t="s">
        <v>147</v>
      </c>
      <c r="C5" s="253">
        <f>'Loan Repayment Structure'!C4</f>
        <v>0.08</v>
      </c>
    </row>
    <row r="6" spans="2:5" x14ac:dyDescent="0.3">
      <c r="B6" s="252" t="s">
        <v>148</v>
      </c>
      <c r="C6" s="264">
        <v>0.11</v>
      </c>
      <c r="E6" s="124"/>
    </row>
    <row r="7" spans="2:5" x14ac:dyDescent="0.3">
      <c r="B7" s="252" t="s">
        <v>149</v>
      </c>
      <c r="C7" s="186">
        <f>Assumptions!C3-'Loan Repayment Structure'!C3</f>
        <v>3600000000</v>
      </c>
    </row>
    <row r="8" spans="2:5" ht="15" thickBot="1" x14ac:dyDescent="0.35">
      <c r="B8" s="254" t="s">
        <v>150</v>
      </c>
      <c r="C8" s="188">
        <f>'Loan Repayment Structure'!C3</f>
        <v>2400000000</v>
      </c>
    </row>
    <row r="11" spans="2:5" ht="15" thickBot="1" x14ac:dyDescent="0.35"/>
    <row r="12" spans="2:5" ht="15" thickBot="1" x14ac:dyDescent="0.35">
      <c r="B12" s="255" t="s">
        <v>151</v>
      </c>
      <c r="C12" s="256">
        <f>((C7/(C7+C8))*(C2+C4*(C3-C2)))+((C8/(C7+C8))*C5*(1-C6))</f>
        <v>9.826E-2</v>
      </c>
    </row>
    <row r="13" spans="2:5" ht="15" thickBot="1" x14ac:dyDescent="0.35">
      <c r="B13" s="255" t="s">
        <v>199</v>
      </c>
      <c r="C13" s="256">
        <f>C2+C4*(C3-C2)</f>
        <v>0.11629999999999999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E0BB-15E1-4EE6-A989-8C88C06E3950}">
  <dimension ref="A1:L33"/>
  <sheetViews>
    <sheetView zoomScale="90" zoomScaleNormal="90" workbookViewId="0">
      <selection activeCell="C11" sqref="C11"/>
    </sheetView>
  </sheetViews>
  <sheetFormatPr defaultRowHeight="14.4" x14ac:dyDescent="0.3"/>
  <cols>
    <col min="1" max="1" width="22.88671875" style="55" bestFit="1" customWidth="1"/>
    <col min="2" max="4" width="13.5546875" style="55" bestFit="1" customWidth="1"/>
    <col min="5" max="11" width="14" style="55" bestFit="1" customWidth="1"/>
    <col min="12" max="12" width="13.33203125" style="55" bestFit="1" customWidth="1"/>
    <col min="13" max="16384" width="8.88671875" style="55"/>
  </cols>
  <sheetData>
    <row r="1" spans="1:12" ht="15" thickBot="1" x14ac:dyDescent="0.35">
      <c r="A1" s="228" t="s">
        <v>190</v>
      </c>
      <c r="B1" s="229" t="s">
        <v>68</v>
      </c>
      <c r="C1" s="229" t="s">
        <v>73</v>
      </c>
      <c r="D1" s="229" t="s">
        <v>74</v>
      </c>
      <c r="E1" s="229" t="s">
        <v>75</v>
      </c>
      <c r="F1" s="229" t="s">
        <v>76</v>
      </c>
      <c r="G1" s="229" t="s">
        <v>77</v>
      </c>
      <c r="H1" s="229" t="s">
        <v>78</v>
      </c>
      <c r="I1" s="229" t="s">
        <v>79</v>
      </c>
      <c r="J1" s="229" t="s">
        <v>80</v>
      </c>
      <c r="K1" s="230" t="s">
        <v>69</v>
      </c>
    </row>
    <row r="2" spans="1:12" x14ac:dyDescent="0.3">
      <c r="A2" s="231" t="s">
        <v>128</v>
      </c>
      <c r="B2" s="129">
        <f>10000000*12</f>
        <v>120000000</v>
      </c>
      <c r="C2" s="129">
        <f>B2*(1+Assumptions!$C$39)</f>
        <v>122400000</v>
      </c>
      <c r="D2" s="129">
        <f>C2*(1+Assumptions!$C$39)</f>
        <v>124848000</v>
      </c>
      <c r="E2" s="129">
        <f>D2*(1+Assumptions!$C$39)</f>
        <v>127344960</v>
      </c>
      <c r="F2" s="129">
        <f>E2*(1+Assumptions!$C$39)</f>
        <v>129891859.2</v>
      </c>
      <c r="G2" s="129">
        <f>F2*(1+Assumptions!$C$39)</f>
        <v>132489696.384</v>
      </c>
      <c r="H2" s="129">
        <f>G2*(1+Assumptions!$C$39)</f>
        <v>135139490.31168002</v>
      </c>
      <c r="I2" s="129">
        <f>H2*(1+Assumptions!$C$39)</f>
        <v>137842280.11791363</v>
      </c>
      <c r="J2" s="129">
        <f>I2*(1+Assumptions!$C$39)</f>
        <v>140599125.72027192</v>
      </c>
      <c r="K2" s="130">
        <f>J2*(1+Assumptions!$C$39)</f>
        <v>143411108.23467734</v>
      </c>
    </row>
    <row r="3" spans="1:12" x14ac:dyDescent="0.3">
      <c r="A3" s="232" t="s">
        <v>129</v>
      </c>
      <c r="B3" s="129">
        <f>3000000*12</f>
        <v>36000000</v>
      </c>
      <c r="C3" s="129">
        <f>B3*(1+Assumptions!$C$39)</f>
        <v>36720000</v>
      </c>
      <c r="D3" s="129">
        <f>C3*(1+Assumptions!$C$39)</f>
        <v>37454400</v>
      </c>
      <c r="E3" s="129">
        <f>D3*(1+Assumptions!$C$39)</f>
        <v>38203488</v>
      </c>
      <c r="F3" s="129">
        <f>E3*(1+Assumptions!$C$39)</f>
        <v>38967557.759999998</v>
      </c>
      <c r="G3" s="129">
        <f>F3*(1+Assumptions!$C$39)</f>
        <v>39746908.915199995</v>
      </c>
      <c r="H3" s="129">
        <f>G3*(1+Assumptions!$C$39)</f>
        <v>40541847.093503997</v>
      </c>
      <c r="I3" s="129">
        <f>H3*(1+Assumptions!$C$39)</f>
        <v>41352684.035374075</v>
      </c>
      <c r="J3" s="129">
        <f>I3*(1+Assumptions!$C$39)</f>
        <v>42179737.71608156</v>
      </c>
      <c r="K3" s="130">
        <f>J3*(1+Assumptions!$C$39)</f>
        <v>43023332.470403194</v>
      </c>
    </row>
    <row r="4" spans="1:12" x14ac:dyDescent="0.3">
      <c r="A4" s="232" t="s">
        <v>130</v>
      </c>
      <c r="B4" s="129">
        <f>1500000*12</f>
        <v>18000000</v>
      </c>
      <c r="C4" s="129">
        <f>B4*(1+Assumptions!$C$39)</f>
        <v>18360000</v>
      </c>
      <c r="D4" s="129">
        <f>C4*(1+Assumptions!$C$39)</f>
        <v>18727200</v>
      </c>
      <c r="E4" s="129">
        <f>D4*(1+Assumptions!$C$39)</f>
        <v>19101744</v>
      </c>
      <c r="F4" s="129">
        <f>E4*(1+Assumptions!$C$39)</f>
        <v>19483778.879999999</v>
      </c>
      <c r="G4" s="129">
        <f>F4*(1+Assumptions!$C$39)</f>
        <v>19873454.457599998</v>
      </c>
      <c r="H4" s="129">
        <f>G4*(1+Assumptions!$C$39)</f>
        <v>20270923.546751998</v>
      </c>
      <c r="I4" s="129">
        <f>H4*(1+Assumptions!$C$39)</f>
        <v>20676342.017687038</v>
      </c>
      <c r="J4" s="129">
        <f>I4*(1+Assumptions!$C$39)</f>
        <v>21089868.85804078</v>
      </c>
      <c r="K4" s="130">
        <f>J4*(1+Assumptions!$C$39)</f>
        <v>21511666.235201597</v>
      </c>
    </row>
    <row r="5" spans="1:12" x14ac:dyDescent="0.3">
      <c r="A5" s="232" t="s">
        <v>131</v>
      </c>
      <c r="B5" s="129">
        <f>3000000*12</f>
        <v>36000000</v>
      </c>
      <c r="C5" s="129">
        <f>B5*(1+Assumptions!$C$39)</f>
        <v>36720000</v>
      </c>
      <c r="D5" s="129">
        <f>C5*(1+Assumptions!$C$39)</f>
        <v>37454400</v>
      </c>
      <c r="E5" s="129">
        <f>D5*(1+Assumptions!$C$39)</f>
        <v>38203488</v>
      </c>
      <c r="F5" s="129">
        <f>E5*(1+Assumptions!$C$39)</f>
        <v>38967557.759999998</v>
      </c>
      <c r="G5" s="129">
        <f>F5*(1+Assumptions!$C$39)</f>
        <v>39746908.915199995</v>
      </c>
      <c r="H5" s="129">
        <f>G5*(1+Assumptions!$C$39)</f>
        <v>40541847.093503997</v>
      </c>
      <c r="I5" s="129">
        <f>H5*(1+Assumptions!$C$39)</f>
        <v>41352684.035374075</v>
      </c>
      <c r="J5" s="129">
        <f>I5*(1+Assumptions!$C$39)</f>
        <v>42179737.71608156</v>
      </c>
      <c r="K5" s="130">
        <f>J5*(1+Assumptions!$C$39)</f>
        <v>43023332.470403194</v>
      </c>
    </row>
    <row r="6" spans="1:12" x14ac:dyDescent="0.3">
      <c r="A6" s="232" t="s">
        <v>132</v>
      </c>
      <c r="B6" s="129">
        <f>600000*12</f>
        <v>7200000</v>
      </c>
      <c r="C6" s="129">
        <f>B6*(1+Assumptions!$C$39)</f>
        <v>7344000</v>
      </c>
      <c r="D6" s="129">
        <f>C6*(1+Assumptions!$C$39)</f>
        <v>7490880</v>
      </c>
      <c r="E6" s="129">
        <f>D6*(1+Assumptions!$C$39)</f>
        <v>7640697.6000000006</v>
      </c>
      <c r="F6" s="129">
        <f>E6*(1+Assumptions!$C$39)</f>
        <v>7793511.5520000011</v>
      </c>
      <c r="G6" s="129">
        <f>F6*(1+Assumptions!$C$39)</f>
        <v>7949381.7830400011</v>
      </c>
      <c r="H6" s="129">
        <f>G6*(1+Assumptions!$C$39)</f>
        <v>8108369.4187008012</v>
      </c>
      <c r="I6" s="129">
        <f>H6*(1+Assumptions!$C$39)</f>
        <v>8270536.8070748178</v>
      </c>
      <c r="J6" s="129">
        <f>I6*(1+Assumptions!$C$39)</f>
        <v>8435947.5432163142</v>
      </c>
      <c r="K6" s="130">
        <f>J6*(1+Assumptions!$C$39)</f>
        <v>8604666.4940806404</v>
      </c>
    </row>
    <row r="7" spans="1:12" x14ac:dyDescent="0.3">
      <c r="A7" s="232" t="s">
        <v>133</v>
      </c>
      <c r="B7" s="129">
        <f>2000000*12</f>
        <v>24000000</v>
      </c>
      <c r="C7" s="129">
        <f>B7*(1+Assumptions!$C$39)</f>
        <v>24480000</v>
      </c>
      <c r="D7" s="129">
        <f>C7*(1+Assumptions!$C$39)</f>
        <v>24969600</v>
      </c>
      <c r="E7" s="129">
        <f>D7*(1+Assumptions!$C$39)</f>
        <v>25468992</v>
      </c>
      <c r="F7" s="129">
        <f>E7*(1+Assumptions!$C$39)</f>
        <v>25978371.84</v>
      </c>
      <c r="G7" s="129">
        <f>F7*(1+Assumptions!$C$39)</f>
        <v>26497939.276799999</v>
      </c>
      <c r="H7" s="129">
        <f>G7*(1+Assumptions!$C$39)</f>
        <v>27027898.062335998</v>
      </c>
      <c r="I7" s="129">
        <f>H7*(1+Assumptions!$C$39)</f>
        <v>27568456.023582719</v>
      </c>
      <c r="J7" s="129">
        <f>I7*(1+Assumptions!$C$39)</f>
        <v>28119825.144054376</v>
      </c>
      <c r="K7" s="130">
        <f>J7*(1+Assumptions!$C$39)</f>
        <v>28682221.646935463</v>
      </c>
    </row>
    <row r="8" spans="1:12" x14ac:dyDescent="0.3">
      <c r="A8" s="233" t="s">
        <v>134</v>
      </c>
      <c r="B8" s="133">
        <f>B24*12</f>
        <v>450000000</v>
      </c>
      <c r="C8" s="133">
        <f>(B24*13)*(1+Assumptions!$C$37)</f>
        <v>492375000</v>
      </c>
      <c r="D8" s="133">
        <f>C8*(1+Assumptions!$C$37)</f>
        <v>497298750</v>
      </c>
      <c r="E8" s="133">
        <f>D8*(1+Assumptions!$C$37)</f>
        <v>502271737.5</v>
      </c>
      <c r="F8" s="133">
        <f>E8*(1+Assumptions!$C$37)</f>
        <v>507294454.875</v>
      </c>
      <c r="G8" s="133">
        <f>F8*(1+Assumptions!$C$37)</f>
        <v>512367399.42374998</v>
      </c>
      <c r="H8" s="133">
        <f>G8*(1+Assumptions!$C$37)</f>
        <v>517491073.41798747</v>
      </c>
      <c r="I8" s="133">
        <f>H8*(1+Assumptions!$C$37)</f>
        <v>522665984.15216732</v>
      </c>
      <c r="J8" s="133">
        <f>I8*(1+Assumptions!$C$37)</f>
        <v>527892643.993689</v>
      </c>
      <c r="K8" s="134">
        <f>J8*(1+Assumptions!$C$37)</f>
        <v>533171570.43362588</v>
      </c>
    </row>
    <row r="9" spans="1:12" x14ac:dyDescent="0.3">
      <c r="A9" s="234" t="s">
        <v>135</v>
      </c>
      <c r="B9" s="129">
        <f>SUM(B2:B8)</f>
        <v>691200000</v>
      </c>
      <c r="C9" s="129">
        <f t="shared" ref="C9:K9" si="0">SUM(C2:C8)</f>
        <v>738399000</v>
      </c>
      <c r="D9" s="129">
        <f t="shared" si="0"/>
        <v>748243230</v>
      </c>
      <c r="E9" s="129">
        <f t="shared" si="0"/>
        <v>758235107.10000002</v>
      </c>
      <c r="F9" s="129">
        <f t="shared" si="0"/>
        <v>768377091.86699998</v>
      </c>
      <c r="G9" s="129">
        <f t="shared" si="0"/>
        <v>778671689.15558994</v>
      </c>
      <c r="H9" s="129">
        <f t="shared" si="0"/>
        <v>789121448.94446433</v>
      </c>
      <c r="I9" s="129">
        <f t="shared" si="0"/>
        <v>799728967.1891737</v>
      </c>
      <c r="J9" s="129">
        <f t="shared" si="0"/>
        <v>810496886.69143558</v>
      </c>
      <c r="K9" s="130">
        <f t="shared" si="0"/>
        <v>821427897.98532724</v>
      </c>
    </row>
    <row r="10" spans="1:12" x14ac:dyDescent="0.3">
      <c r="A10" s="232" t="s">
        <v>136</v>
      </c>
      <c r="B10" s="129">
        <f>2500000*12</f>
        <v>30000000</v>
      </c>
      <c r="C10" s="129">
        <f>B10*(1+Assumptions!$C$32)</f>
        <v>30000000</v>
      </c>
      <c r="D10" s="129">
        <f>C10*(1+Assumptions!$C$32)</f>
        <v>30000000</v>
      </c>
      <c r="E10" s="129">
        <f>D10*(1+Assumptions!$C$32)</f>
        <v>30000000</v>
      </c>
      <c r="F10" s="129">
        <f>E10*(1+Assumptions!$C$32)</f>
        <v>30000000</v>
      </c>
      <c r="G10" s="129">
        <f>F10*(1+Assumptions!$C$32)</f>
        <v>30000000</v>
      </c>
      <c r="H10" s="129">
        <f>G10*(1+Assumptions!$C$32)</f>
        <v>30000000</v>
      </c>
      <c r="I10" s="129">
        <f>H10*(1+Assumptions!$C$32)</f>
        <v>30000000</v>
      </c>
      <c r="J10" s="129">
        <f>I10*(1+Assumptions!$C$32)</f>
        <v>30000000</v>
      </c>
      <c r="K10" s="130">
        <f>J10*(1+Assumptions!$C$32)</f>
        <v>30000000</v>
      </c>
    </row>
    <row r="11" spans="1:12" x14ac:dyDescent="0.3">
      <c r="A11" s="232" t="s">
        <v>137</v>
      </c>
      <c r="B11" s="129">
        <f>Assumptions!C4*Assumptions!C23*30*50000</f>
        <v>12000000</v>
      </c>
      <c r="C11" s="129">
        <f>B11*(1+Assumptions!$C$39)</f>
        <v>12240000</v>
      </c>
      <c r="D11" s="129">
        <f>C11*(1+Assumptions!$C$39)</f>
        <v>12484800</v>
      </c>
      <c r="E11" s="129">
        <f>D11*(1+Assumptions!$C$39)</f>
        <v>12734496</v>
      </c>
      <c r="F11" s="129">
        <f>E11*(1+Assumptions!$C$39)</f>
        <v>12989185.92</v>
      </c>
      <c r="G11" s="129">
        <f>F11*(1+Assumptions!$C$39)</f>
        <v>13248969.6384</v>
      </c>
      <c r="H11" s="129">
        <f>G11*(1+Assumptions!$C$39)</f>
        <v>13513949.031167999</v>
      </c>
      <c r="I11" s="129">
        <f>H11*(1+Assumptions!$C$39)</f>
        <v>13784228.01179136</v>
      </c>
      <c r="J11" s="129">
        <f>I11*(1+Assumptions!$C$39)</f>
        <v>14059912.572027188</v>
      </c>
      <c r="K11" s="130">
        <f>J11*(1+Assumptions!$C$39)</f>
        <v>14341110.823467731</v>
      </c>
    </row>
    <row r="12" spans="1:12" x14ac:dyDescent="0.3">
      <c r="A12" s="232" t="s">
        <v>138</v>
      </c>
      <c r="B12" s="129">
        <f>1000000*12</f>
        <v>12000000</v>
      </c>
      <c r="C12" s="129">
        <f>B12*(1+Assumptions!$C$39)</f>
        <v>12240000</v>
      </c>
      <c r="D12" s="129">
        <f>C12*(1+Assumptions!$C$39)</f>
        <v>12484800</v>
      </c>
      <c r="E12" s="129">
        <f>D12*(1+Assumptions!$C$39)</f>
        <v>12734496</v>
      </c>
      <c r="F12" s="129">
        <f>E12*(1+Assumptions!$C$39)</f>
        <v>12989185.92</v>
      </c>
      <c r="G12" s="129">
        <f>F12*(1+Assumptions!$C$39)</f>
        <v>13248969.6384</v>
      </c>
      <c r="H12" s="129">
        <f>G12*(1+Assumptions!$C$39)</f>
        <v>13513949.031167999</v>
      </c>
      <c r="I12" s="129">
        <f>H12*(1+Assumptions!$C$39)</f>
        <v>13784228.01179136</v>
      </c>
      <c r="J12" s="129">
        <f>I12*(1+Assumptions!$C$39)</f>
        <v>14059912.572027188</v>
      </c>
      <c r="K12" s="130">
        <f>J12*(1+Assumptions!$C$39)</f>
        <v>14341110.823467731</v>
      </c>
      <c r="L12" s="235"/>
    </row>
    <row r="13" spans="1:12" x14ac:dyDescent="0.3">
      <c r="A13" s="233" t="s">
        <v>189</v>
      </c>
      <c r="B13" s="129">
        <f>(7500000*12)</f>
        <v>90000000</v>
      </c>
      <c r="C13" s="129">
        <f>B13*(1+Assumptions!$C$39)</f>
        <v>91800000</v>
      </c>
      <c r="D13" s="129">
        <f>C13*(1+Assumptions!$C$39)</f>
        <v>93636000</v>
      </c>
      <c r="E13" s="129">
        <f>D13*(1+Assumptions!$C$39)</f>
        <v>95508720</v>
      </c>
      <c r="F13" s="129">
        <f>E13*(1+Assumptions!$C$39)</f>
        <v>97418894.400000006</v>
      </c>
      <c r="G13" s="129">
        <f>F13*(1+Assumptions!$C$39)</f>
        <v>99367272.288000003</v>
      </c>
      <c r="H13" s="129">
        <f>G13*(1+Assumptions!$C$39)</f>
        <v>101354617.73376</v>
      </c>
      <c r="I13" s="129">
        <f>H13*(1+Assumptions!$C$39)</f>
        <v>103381710.0884352</v>
      </c>
      <c r="J13" s="129">
        <f>I13*(1+Assumptions!$C$39)</f>
        <v>105449344.29020391</v>
      </c>
      <c r="K13" s="134">
        <f>J13*(1+Assumptions!$C$39)</f>
        <v>107558331.176008</v>
      </c>
      <c r="L13" s="235"/>
    </row>
    <row r="14" spans="1:12" ht="15" thickBot="1" x14ac:dyDescent="0.35">
      <c r="A14" s="236" t="s">
        <v>139</v>
      </c>
      <c r="B14" s="237">
        <f>SUM(B10:B13)</f>
        <v>144000000</v>
      </c>
      <c r="C14" s="237">
        <f t="shared" ref="C14:K14" si="1">SUM(C10:C13)</f>
        <v>146280000</v>
      </c>
      <c r="D14" s="237">
        <f t="shared" si="1"/>
        <v>148605600</v>
      </c>
      <c r="E14" s="237">
        <f t="shared" si="1"/>
        <v>150977712</v>
      </c>
      <c r="F14" s="237">
        <f t="shared" si="1"/>
        <v>153397266.24000001</v>
      </c>
      <c r="G14" s="237">
        <f t="shared" si="1"/>
        <v>155865211.56480002</v>
      </c>
      <c r="H14" s="237">
        <f t="shared" si="1"/>
        <v>158382515.796096</v>
      </c>
      <c r="I14" s="237">
        <f t="shared" si="1"/>
        <v>160950166.11201793</v>
      </c>
      <c r="J14" s="237">
        <f t="shared" si="1"/>
        <v>163569169.43425828</v>
      </c>
      <c r="K14" s="238">
        <f t="shared" si="1"/>
        <v>166240552.82294345</v>
      </c>
    </row>
    <row r="15" spans="1:12" x14ac:dyDescent="0.3">
      <c r="A15" s="239" t="s">
        <v>140</v>
      </c>
      <c r="B15" s="240">
        <f t="shared" ref="B15" si="2">B9+B14</f>
        <v>835200000</v>
      </c>
      <c r="C15" s="240">
        <f>C9+C14</f>
        <v>884679000</v>
      </c>
      <c r="D15" s="240">
        <f t="shared" ref="D15:K15" si="3">D9+D14</f>
        <v>896848830</v>
      </c>
      <c r="E15" s="240">
        <f t="shared" si="3"/>
        <v>909212819.10000002</v>
      </c>
      <c r="F15" s="240">
        <f t="shared" si="3"/>
        <v>921774358.10699999</v>
      </c>
      <c r="G15" s="240">
        <f t="shared" si="3"/>
        <v>934536900.72038996</v>
      </c>
      <c r="H15" s="240">
        <f t="shared" si="3"/>
        <v>947503964.74056029</v>
      </c>
      <c r="I15" s="240">
        <f t="shared" si="3"/>
        <v>960679133.30119157</v>
      </c>
      <c r="J15" s="240">
        <f t="shared" si="3"/>
        <v>974066056.1256938</v>
      </c>
      <c r="K15" s="241">
        <f t="shared" si="3"/>
        <v>987668450.80827069</v>
      </c>
      <c r="L15" s="235"/>
    </row>
    <row r="16" spans="1:12" x14ac:dyDescent="0.3">
      <c r="C16" s="235"/>
    </row>
    <row r="17" spans="1:12" ht="15" thickBot="1" x14ac:dyDescent="0.35">
      <c r="A17" s="228" t="s">
        <v>143</v>
      </c>
      <c r="B17" s="229" t="s">
        <v>68</v>
      </c>
      <c r="C17" s="229" t="s">
        <v>73</v>
      </c>
      <c r="D17" s="229" t="s">
        <v>74</v>
      </c>
      <c r="E17" s="229" t="s">
        <v>75</v>
      </c>
      <c r="F17" s="229" t="s">
        <v>76</v>
      </c>
      <c r="G17" s="229" t="s">
        <v>77</v>
      </c>
      <c r="H17" s="229" t="s">
        <v>78</v>
      </c>
      <c r="I17" s="229" t="s">
        <v>79</v>
      </c>
      <c r="J17" s="229" t="s">
        <v>80</v>
      </c>
      <c r="K17" s="230" t="s">
        <v>69</v>
      </c>
    </row>
    <row r="18" spans="1:12" x14ac:dyDescent="0.3">
      <c r="A18" s="242" t="s">
        <v>128</v>
      </c>
      <c r="B18" s="243">
        <f t="shared" ref="B18:K18" si="4">B2/12</f>
        <v>10000000</v>
      </c>
      <c r="C18" s="243">
        <f t="shared" si="4"/>
        <v>10200000</v>
      </c>
      <c r="D18" s="243">
        <f t="shared" si="4"/>
        <v>10404000</v>
      </c>
      <c r="E18" s="243">
        <f t="shared" si="4"/>
        <v>10612080</v>
      </c>
      <c r="F18" s="243">
        <f t="shared" si="4"/>
        <v>10824321.6</v>
      </c>
      <c r="G18" s="243">
        <f t="shared" si="4"/>
        <v>11040808.032</v>
      </c>
      <c r="H18" s="243">
        <f t="shared" si="4"/>
        <v>11261624.192640001</v>
      </c>
      <c r="I18" s="243">
        <f t="shared" si="4"/>
        <v>11486856.676492803</v>
      </c>
      <c r="J18" s="243">
        <f t="shared" si="4"/>
        <v>11716593.81002266</v>
      </c>
      <c r="K18" s="243">
        <f t="shared" si="4"/>
        <v>11950925.686223112</v>
      </c>
      <c r="L18" s="235"/>
    </row>
    <row r="19" spans="1:12" x14ac:dyDescent="0.3">
      <c r="A19" s="242" t="s">
        <v>188</v>
      </c>
      <c r="B19" s="243">
        <f t="shared" ref="B19:K19" si="5">B3/12</f>
        <v>3000000</v>
      </c>
      <c r="C19" s="243">
        <f t="shared" si="5"/>
        <v>3060000</v>
      </c>
      <c r="D19" s="243">
        <f t="shared" si="5"/>
        <v>3121200</v>
      </c>
      <c r="E19" s="243">
        <f t="shared" si="5"/>
        <v>3183624</v>
      </c>
      <c r="F19" s="243">
        <f t="shared" si="5"/>
        <v>3247296.48</v>
      </c>
      <c r="G19" s="243">
        <f t="shared" si="5"/>
        <v>3312242.4095999994</v>
      </c>
      <c r="H19" s="243">
        <f t="shared" si="5"/>
        <v>3378487.2577919997</v>
      </c>
      <c r="I19" s="243">
        <f t="shared" si="5"/>
        <v>3446057.0029478394</v>
      </c>
      <c r="J19" s="243">
        <f t="shared" si="5"/>
        <v>3514978.1430067965</v>
      </c>
      <c r="K19" s="243">
        <f t="shared" si="5"/>
        <v>3585277.7058669329</v>
      </c>
      <c r="L19" s="244"/>
    </row>
    <row r="20" spans="1:12" x14ac:dyDescent="0.3">
      <c r="A20" s="242" t="s">
        <v>130</v>
      </c>
      <c r="B20" s="243">
        <f t="shared" ref="B20:K20" si="6">B4/12</f>
        <v>1500000</v>
      </c>
      <c r="C20" s="243">
        <f t="shared" si="6"/>
        <v>1530000</v>
      </c>
      <c r="D20" s="243">
        <f t="shared" si="6"/>
        <v>1560600</v>
      </c>
      <c r="E20" s="243">
        <f t="shared" si="6"/>
        <v>1591812</v>
      </c>
      <c r="F20" s="243">
        <f t="shared" si="6"/>
        <v>1623648.24</v>
      </c>
      <c r="G20" s="243">
        <f t="shared" si="6"/>
        <v>1656121.2047999997</v>
      </c>
      <c r="H20" s="243">
        <f t="shared" si="6"/>
        <v>1689243.6288959999</v>
      </c>
      <c r="I20" s="243">
        <f t="shared" si="6"/>
        <v>1723028.5014739197</v>
      </c>
      <c r="J20" s="243">
        <f t="shared" si="6"/>
        <v>1757489.0715033982</v>
      </c>
      <c r="K20" s="243">
        <f t="shared" si="6"/>
        <v>1792638.8529334664</v>
      </c>
    </row>
    <row r="21" spans="1:12" x14ac:dyDescent="0.3">
      <c r="A21" s="242" t="s">
        <v>131</v>
      </c>
      <c r="B21" s="243">
        <f t="shared" ref="B21:K21" si="7">B5/12</f>
        <v>3000000</v>
      </c>
      <c r="C21" s="243">
        <f t="shared" si="7"/>
        <v>3060000</v>
      </c>
      <c r="D21" s="243">
        <f t="shared" si="7"/>
        <v>3121200</v>
      </c>
      <c r="E21" s="243">
        <f t="shared" si="7"/>
        <v>3183624</v>
      </c>
      <c r="F21" s="243">
        <f t="shared" si="7"/>
        <v>3247296.48</v>
      </c>
      <c r="G21" s="243">
        <f t="shared" si="7"/>
        <v>3312242.4095999994</v>
      </c>
      <c r="H21" s="243">
        <f t="shared" si="7"/>
        <v>3378487.2577919997</v>
      </c>
      <c r="I21" s="243">
        <f t="shared" si="7"/>
        <v>3446057.0029478394</v>
      </c>
      <c r="J21" s="243">
        <f t="shared" si="7"/>
        <v>3514978.1430067965</v>
      </c>
      <c r="K21" s="243">
        <f t="shared" si="7"/>
        <v>3585277.7058669329</v>
      </c>
    </row>
    <row r="22" spans="1:12" x14ac:dyDescent="0.3">
      <c r="A22" s="242" t="s">
        <v>132</v>
      </c>
      <c r="B22" s="243">
        <f t="shared" ref="B22:K22" si="8">B6/12</f>
        <v>600000</v>
      </c>
      <c r="C22" s="243">
        <f t="shared" si="8"/>
        <v>612000</v>
      </c>
      <c r="D22" s="243">
        <f t="shared" si="8"/>
        <v>624240</v>
      </c>
      <c r="E22" s="243">
        <f t="shared" si="8"/>
        <v>636724.80000000005</v>
      </c>
      <c r="F22" s="243">
        <f t="shared" si="8"/>
        <v>649459.29600000009</v>
      </c>
      <c r="G22" s="243">
        <f t="shared" si="8"/>
        <v>662448.48192000005</v>
      </c>
      <c r="H22" s="243">
        <f t="shared" si="8"/>
        <v>675697.45155840006</v>
      </c>
      <c r="I22" s="243">
        <f t="shared" si="8"/>
        <v>689211.40058956819</v>
      </c>
      <c r="J22" s="243">
        <f t="shared" si="8"/>
        <v>702995.62860135955</v>
      </c>
      <c r="K22" s="243">
        <f t="shared" si="8"/>
        <v>717055.54117338674</v>
      </c>
    </row>
    <row r="23" spans="1:12" x14ac:dyDescent="0.3">
      <c r="A23" s="242" t="s">
        <v>133</v>
      </c>
      <c r="B23" s="243">
        <f t="shared" ref="B23:K23" si="9">B7/12</f>
        <v>2000000</v>
      </c>
      <c r="C23" s="243">
        <f t="shared" si="9"/>
        <v>2040000</v>
      </c>
      <c r="D23" s="243">
        <f t="shared" si="9"/>
        <v>2080800</v>
      </c>
      <c r="E23" s="243">
        <f t="shared" si="9"/>
        <v>2122416</v>
      </c>
      <c r="F23" s="243">
        <f t="shared" si="9"/>
        <v>2164864.3199999998</v>
      </c>
      <c r="G23" s="243">
        <f t="shared" si="9"/>
        <v>2208161.6063999999</v>
      </c>
      <c r="H23" s="243">
        <f t="shared" si="9"/>
        <v>2252324.8385279998</v>
      </c>
      <c r="I23" s="243">
        <f t="shared" si="9"/>
        <v>2297371.3352985601</v>
      </c>
      <c r="J23" s="243">
        <f t="shared" si="9"/>
        <v>2343318.7620045315</v>
      </c>
      <c r="K23" s="243">
        <f t="shared" si="9"/>
        <v>2390185.1372446218</v>
      </c>
    </row>
    <row r="24" spans="1:12" x14ac:dyDescent="0.3">
      <c r="A24" s="245" t="s">
        <v>134</v>
      </c>
      <c r="B24" s="246">
        <f>'Salary Details'!G8</f>
        <v>37500000</v>
      </c>
      <c r="C24" s="246">
        <f t="shared" ref="C24:K24" si="10">C8/12</f>
        <v>41031250</v>
      </c>
      <c r="D24" s="246">
        <f t="shared" si="10"/>
        <v>41441562.5</v>
      </c>
      <c r="E24" s="246">
        <f t="shared" si="10"/>
        <v>41855978.125</v>
      </c>
      <c r="F24" s="246">
        <f t="shared" si="10"/>
        <v>42274537.90625</v>
      </c>
      <c r="G24" s="246">
        <f t="shared" si="10"/>
        <v>42697283.285312496</v>
      </c>
      <c r="H24" s="246">
        <f t="shared" si="10"/>
        <v>43124256.11816562</v>
      </c>
      <c r="I24" s="246">
        <f t="shared" si="10"/>
        <v>43555498.679347277</v>
      </c>
      <c r="J24" s="246">
        <f t="shared" si="10"/>
        <v>43991053.66614075</v>
      </c>
      <c r="K24" s="246">
        <f t="shared" si="10"/>
        <v>44430964.202802159</v>
      </c>
    </row>
    <row r="25" spans="1:12" x14ac:dyDescent="0.3">
      <c r="A25" s="247" t="s">
        <v>135</v>
      </c>
      <c r="B25" s="248">
        <f>SUM(B18:B24)</f>
        <v>57600000</v>
      </c>
      <c r="C25" s="248">
        <f t="shared" ref="C25:K25" si="11">SUM(C18:C24)</f>
        <v>61533250</v>
      </c>
      <c r="D25" s="248">
        <f t="shared" si="11"/>
        <v>62353602.5</v>
      </c>
      <c r="E25" s="248">
        <f t="shared" si="11"/>
        <v>63186258.924999997</v>
      </c>
      <c r="F25" s="248">
        <f t="shared" si="11"/>
        <v>64031424.322250001</v>
      </c>
      <c r="G25" s="248">
        <f t="shared" si="11"/>
        <v>64889307.429632492</v>
      </c>
      <c r="H25" s="248">
        <f t="shared" si="11"/>
        <v>65760120.74537202</v>
      </c>
      <c r="I25" s="248">
        <f t="shared" si="11"/>
        <v>66644080.599097803</v>
      </c>
      <c r="J25" s="248">
        <f t="shared" si="11"/>
        <v>67541407.224286288</v>
      </c>
      <c r="K25" s="248">
        <f t="shared" si="11"/>
        <v>68452324.832110614</v>
      </c>
    </row>
    <row r="26" spans="1:12" x14ac:dyDescent="0.3">
      <c r="A26" s="249" t="str">
        <f>A10</f>
        <v>Water Bill</v>
      </c>
      <c r="B26" s="243">
        <f t="shared" ref="B26:K26" si="12">B10/12</f>
        <v>2500000</v>
      </c>
      <c r="C26" s="243">
        <f t="shared" si="12"/>
        <v>2500000</v>
      </c>
      <c r="D26" s="243">
        <f t="shared" si="12"/>
        <v>2500000</v>
      </c>
      <c r="E26" s="243">
        <f t="shared" si="12"/>
        <v>2500000</v>
      </c>
      <c r="F26" s="243">
        <f t="shared" si="12"/>
        <v>2500000</v>
      </c>
      <c r="G26" s="243">
        <f t="shared" si="12"/>
        <v>2500000</v>
      </c>
      <c r="H26" s="243">
        <f t="shared" si="12"/>
        <v>2500000</v>
      </c>
      <c r="I26" s="243">
        <f t="shared" si="12"/>
        <v>2500000</v>
      </c>
      <c r="J26" s="243">
        <f t="shared" si="12"/>
        <v>2500000</v>
      </c>
      <c r="K26" s="243">
        <f t="shared" si="12"/>
        <v>2500000</v>
      </c>
    </row>
    <row r="27" spans="1:12" x14ac:dyDescent="0.3">
      <c r="A27" s="249" t="str">
        <f>A11</f>
        <v>STS Amenities</v>
      </c>
      <c r="B27" s="243">
        <f t="shared" ref="B27:K27" si="13">B11/12</f>
        <v>1000000</v>
      </c>
      <c r="C27" s="243">
        <f t="shared" si="13"/>
        <v>1020000</v>
      </c>
      <c r="D27" s="243">
        <f t="shared" si="13"/>
        <v>1040400</v>
      </c>
      <c r="E27" s="243">
        <f t="shared" si="13"/>
        <v>1061208</v>
      </c>
      <c r="F27" s="243">
        <f t="shared" si="13"/>
        <v>1082432.1599999999</v>
      </c>
      <c r="G27" s="243">
        <f t="shared" si="13"/>
        <v>1104080.8032</v>
      </c>
      <c r="H27" s="243">
        <f t="shared" si="13"/>
        <v>1126162.4192639999</v>
      </c>
      <c r="I27" s="243">
        <f t="shared" si="13"/>
        <v>1148685.66764928</v>
      </c>
      <c r="J27" s="243">
        <f t="shared" si="13"/>
        <v>1171659.3810022657</v>
      </c>
      <c r="K27" s="243">
        <f t="shared" si="13"/>
        <v>1195092.5686223109</v>
      </c>
    </row>
    <row r="28" spans="1:12" x14ac:dyDescent="0.3">
      <c r="A28" s="249" t="str">
        <f>A12</f>
        <v>Cleaning</v>
      </c>
      <c r="B28" s="243">
        <f t="shared" ref="B28:K28" si="14">B12/12</f>
        <v>1000000</v>
      </c>
      <c r="C28" s="243">
        <f t="shared" si="14"/>
        <v>1020000</v>
      </c>
      <c r="D28" s="243">
        <f t="shared" si="14"/>
        <v>1040400</v>
      </c>
      <c r="E28" s="243">
        <f t="shared" si="14"/>
        <v>1061208</v>
      </c>
      <c r="F28" s="243">
        <f t="shared" si="14"/>
        <v>1082432.1599999999</v>
      </c>
      <c r="G28" s="243">
        <f t="shared" si="14"/>
        <v>1104080.8032</v>
      </c>
      <c r="H28" s="243">
        <f t="shared" si="14"/>
        <v>1126162.4192639999</v>
      </c>
      <c r="I28" s="243">
        <f t="shared" si="14"/>
        <v>1148685.66764928</v>
      </c>
      <c r="J28" s="243">
        <f t="shared" si="14"/>
        <v>1171659.3810022657</v>
      </c>
      <c r="K28" s="243">
        <f t="shared" si="14"/>
        <v>1195092.5686223109</v>
      </c>
    </row>
    <row r="29" spans="1:12" x14ac:dyDescent="0.3">
      <c r="A29" s="249" t="str">
        <f>A13</f>
        <v>Website Management</v>
      </c>
      <c r="B29" s="243">
        <f>B13/12</f>
        <v>7500000</v>
      </c>
      <c r="C29" s="243">
        <f t="shared" ref="C29:K29" si="15">C13/12</f>
        <v>7650000</v>
      </c>
      <c r="D29" s="243">
        <f t="shared" si="15"/>
        <v>7803000</v>
      </c>
      <c r="E29" s="243">
        <f t="shared" si="15"/>
        <v>7959060</v>
      </c>
      <c r="F29" s="243">
        <f t="shared" si="15"/>
        <v>8118241.2000000002</v>
      </c>
      <c r="G29" s="243">
        <f t="shared" si="15"/>
        <v>8280606.0240000002</v>
      </c>
      <c r="H29" s="243">
        <f t="shared" si="15"/>
        <v>8446218.1444799993</v>
      </c>
      <c r="I29" s="243">
        <f t="shared" si="15"/>
        <v>8615142.5073696002</v>
      </c>
      <c r="J29" s="243">
        <f t="shared" si="15"/>
        <v>8787445.3575169928</v>
      </c>
      <c r="K29" s="243">
        <f t="shared" si="15"/>
        <v>8963194.264667334</v>
      </c>
    </row>
    <row r="30" spans="1:12" x14ac:dyDescent="0.3">
      <c r="A30" s="247" t="str">
        <f>A14</f>
        <v xml:space="preserve">Variable Costs - Subtotal </v>
      </c>
      <c r="B30" s="248">
        <f>SUM(B26:B29)</f>
        <v>12000000</v>
      </c>
      <c r="C30" s="248">
        <f t="shared" ref="C30:K30" si="16">SUM(C26:C29)</f>
        <v>12190000</v>
      </c>
      <c r="D30" s="248">
        <f t="shared" si="16"/>
        <v>12383800</v>
      </c>
      <c r="E30" s="248">
        <f t="shared" si="16"/>
        <v>12581476</v>
      </c>
      <c r="F30" s="248">
        <f t="shared" si="16"/>
        <v>12783105.52</v>
      </c>
      <c r="G30" s="248">
        <f t="shared" si="16"/>
        <v>12988767.6304</v>
      </c>
      <c r="H30" s="248">
        <f t="shared" si="16"/>
        <v>13198542.983007999</v>
      </c>
      <c r="I30" s="248">
        <f t="shared" si="16"/>
        <v>13412513.842668161</v>
      </c>
      <c r="J30" s="248">
        <f t="shared" si="16"/>
        <v>13630764.119521525</v>
      </c>
      <c r="K30" s="248">
        <f t="shared" si="16"/>
        <v>13853379.401911955</v>
      </c>
    </row>
    <row r="31" spans="1:12" x14ac:dyDescent="0.3">
      <c r="A31" s="239" t="s">
        <v>140</v>
      </c>
      <c r="B31" s="250">
        <f t="shared" ref="B31:K31" si="17">B25+B30</f>
        <v>69600000</v>
      </c>
      <c r="C31" s="250">
        <f t="shared" si="17"/>
        <v>73723250</v>
      </c>
      <c r="D31" s="250">
        <f t="shared" si="17"/>
        <v>74737402.5</v>
      </c>
      <c r="E31" s="250">
        <f t="shared" si="17"/>
        <v>75767734.924999997</v>
      </c>
      <c r="F31" s="250">
        <f t="shared" si="17"/>
        <v>76814529.842250004</v>
      </c>
      <c r="G31" s="250">
        <f t="shared" si="17"/>
        <v>77878075.060032487</v>
      </c>
      <c r="H31" s="250">
        <f t="shared" si="17"/>
        <v>78958663.728380024</v>
      </c>
      <c r="I31" s="250">
        <f t="shared" si="17"/>
        <v>80056594.441765964</v>
      </c>
      <c r="J31" s="250">
        <f t="shared" si="17"/>
        <v>81172171.343807817</v>
      </c>
      <c r="K31" s="250">
        <f t="shared" si="17"/>
        <v>82305704.234022573</v>
      </c>
    </row>
    <row r="32" spans="1:12" x14ac:dyDescent="0.3">
      <c r="B32" s="235"/>
    </row>
    <row r="33" spans="2:2" x14ac:dyDescent="0.3">
      <c r="B33" s="235"/>
    </row>
  </sheetData>
  <phoneticPr fontId="6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9912-E210-48E3-9ED8-B348E12E6EFE}">
  <dimension ref="A3:E39"/>
  <sheetViews>
    <sheetView zoomScaleNormal="100" workbookViewId="0">
      <selection activeCell="C8" sqref="C8"/>
    </sheetView>
  </sheetViews>
  <sheetFormatPr defaultColWidth="8.88671875" defaultRowHeight="14.4" x14ac:dyDescent="0.3"/>
  <cols>
    <col min="1" max="1" width="31.88671875" style="135" bestFit="1" customWidth="1"/>
    <col min="2" max="2" width="14.88671875" style="124" bestFit="1" customWidth="1"/>
    <col min="3" max="3" width="14.88671875" style="135" bestFit="1" customWidth="1"/>
    <col min="4" max="4" width="13.5546875" style="135" bestFit="1" customWidth="1"/>
    <col min="5" max="5" width="12" style="135" bestFit="1" customWidth="1"/>
    <col min="6" max="16384" width="8.88671875" style="135"/>
  </cols>
  <sheetData>
    <row r="3" spans="1:5" x14ac:dyDescent="0.3">
      <c r="A3" s="200" t="s">
        <v>110</v>
      </c>
      <c r="B3" s="136"/>
      <c r="C3" s="137">
        <v>6000000000</v>
      </c>
      <c r="D3" s="153"/>
      <c r="E3" s="153"/>
    </row>
    <row r="4" spans="1:5" x14ac:dyDescent="0.3">
      <c r="A4" s="201" t="s">
        <v>186</v>
      </c>
      <c r="B4" s="139"/>
      <c r="C4" s="121">
        <f>C6+C10+C14+C18</f>
        <v>40</v>
      </c>
    </row>
    <row r="5" spans="1:5" x14ac:dyDescent="0.3">
      <c r="A5" s="201"/>
      <c r="B5" s="139"/>
      <c r="C5" s="121"/>
    </row>
    <row r="6" spans="1:5" x14ac:dyDescent="0.3">
      <c r="A6" s="201" t="s">
        <v>179</v>
      </c>
      <c r="B6" s="139"/>
      <c r="C6" s="121">
        <v>31</v>
      </c>
    </row>
    <row r="7" spans="1:5" x14ac:dyDescent="0.3">
      <c r="A7" s="201" t="s">
        <v>111</v>
      </c>
      <c r="B7" s="139"/>
      <c r="C7" s="121">
        <v>4600000</v>
      </c>
    </row>
    <row r="8" spans="1:5" x14ac:dyDescent="0.3">
      <c r="A8" s="201" t="s">
        <v>112</v>
      </c>
      <c r="B8" s="139"/>
      <c r="C8" s="121">
        <f>C7/30*3</f>
        <v>460000</v>
      </c>
    </row>
    <row r="9" spans="1:5" x14ac:dyDescent="0.3">
      <c r="A9" s="201"/>
      <c r="B9" s="139"/>
      <c r="C9" s="121"/>
    </row>
    <row r="10" spans="1:5" x14ac:dyDescent="0.3">
      <c r="A10" s="201" t="s">
        <v>185</v>
      </c>
      <c r="B10" s="139"/>
      <c r="C10" s="121">
        <v>3</v>
      </c>
    </row>
    <row r="11" spans="1:5" x14ac:dyDescent="0.3">
      <c r="A11" s="201" t="s">
        <v>113</v>
      </c>
      <c r="B11" s="139"/>
      <c r="C11" s="121">
        <v>5000000</v>
      </c>
    </row>
    <row r="12" spans="1:5" x14ac:dyDescent="0.3">
      <c r="A12" s="201" t="s">
        <v>114</v>
      </c>
      <c r="B12" s="139"/>
      <c r="C12" s="121">
        <f>C11/30*3</f>
        <v>500000</v>
      </c>
    </row>
    <row r="13" spans="1:5" x14ac:dyDescent="0.3">
      <c r="A13" s="201"/>
      <c r="B13" s="139"/>
      <c r="C13" s="121"/>
    </row>
    <row r="14" spans="1:5" x14ac:dyDescent="0.3">
      <c r="A14" s="201" t="s">
        <v>178</v>
      </c>
      <c r="B14" s="207"/>
      <c r="C14" s="208">
        <v>2</v>
      </c>
    </row>
    <row r="15" spans="1:5" x14ac:dyDescent="0.3">
      <c r="A15" s="201" t="s">
        <v>181</v>
      </c>
      <c r="B15" s="207"/>
      <c r="C15" s="121">
        <v>5900000</v>
      </c>
    </row>
    <row r="16" spans="1:5" x14ac:dyDescent="0.3">
      <c r="A16" s="201" t="s">
        <v>182</v>
      </c>
      <c r="B16" s="207"/>
      <c r="C16" s="121">
        <f>(C15/30)*3</f>
        <v>590000</v>
      </c>
    </row>
    <row r="17" spans="1:4" x14ac:dyDescent="0.3">
      <c r="A17" s="138"/>
      <c r="B17" s="207"/>
      <c r="C17" s="208"/>
    </row>
    <row r="18" spans="1:4" x14ac:dyDescent="0.3">
      <c r="A18" s="201" t="s">
        <v>180</v>
      </c>
      <c r="B18" s="139"/>
      <c r="C18" s="121">
        <v>4</v>
      </c>
    </row>
    <row r="19" spans="1:4" x14ac:dyDescent="0.3">
      <c r="A19" s="138" t="s">
        <v>183</v>
      </c>
      <c r="B19" s="207"/>
      <c r="C19" s="121">
        <v>5500000</v>
      </c>
    </row>
    <row r="20" spans="1:4" x14ac:dyDescent="0.3">
      <c r="A20" s="138" t="s">
        <v>184</v>
      </c>
      <c r="B20" s="207"/>
      <c r="C20" s="121">
        <f>(C19/30)*3</f>
        <v>550000</v>
      </c>
    </row>
    <row r="21" spans="1:4" x14ac:dyDescent="0.3">
      <c r="A21" s="138"/>
      <c r="B21" s="207"/>
      <c r="C21" s="208"/>
    </row>
    <row r="22" spans="1:4" x14ac:dyDescent="0.3">
      <c r="A22" s="201" t="s">
        <v>115</v>
      </c>
      <c r="B22" s="139"/>
      <c r="C22" s="140">
        <v>0.8</v>
      </c>
      <c r="D22" s="257"/>
    </row>
    <row r="23" spans="1:4" x14ac:dyDescent="0.3">
      <c r="A23" s="201" t="s">
        <v>116</v>
      </c>
      <c r="B23" s="139"/>
      <c r="C23" s="140">
        <v>0.2</v>
      </c>
    </row>
    <row r="24" spans="1:4" x14ac:dyDescent="0.3">
      <c r="A24" s="201" t="s">
        <v>117</v>
      </c>
      <c r="B24" s="139"/>
      <c r="C24" s="140">
        <v>0.85</v>
      </c>
    </row>
    <row r="25" spans="1:4" x14ac:dyDescent="0.3">
      <c r="A25" s="201" t="s">
        <v>118</v>
      </c>
      <c r="B25" s="139"/>
      <c r="C25" s="140">
        <v>0.65</v>
      </c>
    </row>
    <row r="26" spans="1:4" x14ac:dyDescent="0.3">
      <c r="A26" s="201"/>
      <c r="B26" s="139"/>
      <c r="C26" s="121"/>
    </row>
    <row r="27" spans="1:4" x14ac:dyDescent="0.3">
      <c r="A27" s="201"/>
      <c r="B27" s="139"/>
      <c r="C27" s="121"/>
    </row>
    <row r="28" spans="1:4" x14ac:dyDescent="0.3">
      <c r="A28" s="201" t="s">
        <v>119</v>
      </c>
      <c r="B28" s="139"/>
      <c r="C28" s="140">
        <v>1</v>
      </c>
    </row>
    <row r="29" spans="1:4" x14ac:dyDescent="0.3">
      <c r="A29" s="201" t="s">
        <v>120</v>
      </c>
      <c r="B29" s="139"/>
      <c r="C29" s="140">
        <v>0.2</v>
      </c>
    </row>
    <row r="30" spans="1:4" x14ac:dyDescent="0.3">
      <c r="A30" s="201" t="s">
        <v>121</v>
      </c>
      <c r="B30" s="139"/>
      <c r="C30" s="140">
        <v>0.8</v>
      </c>
    </row>
    <row r="31" spans="1:4" x14ac:dyDescent="0.3">
      <c r="A31" s="201"/>
      <c r="B31" s="139"/>
      <c r="C31" s="121"/>
    </row>
    <row r="32" spans="1:4" x14ac:dyDescent="0.3">
      <c r="A32" s="201"/>
      <c r="B32" s="139"/>
      <c r="C32" s="121"/>
    </row>
    <row r="33" spans="1:4" x14ac:dyDescent="0.3">
      <c r="A33" s="202" t="s">
        <v>122</v>
      </c>
      <c r="B33" s="155"/>
      <c r="C33" s="156">
        <v>0.2</v>
      </c>
      <c r="D33" s="135" t="s">
        <v>177</v>
      </c>
    </row>
    <row r="34" spans="1:4" x14ac:dyDescent="0.3">
      <c r="A34" s="201" t="s">
        <v>123</v>
      </c>
      <c r="B34" s="139"/>
      <c r="C34" s="167">
        <v>0</v>
      </c>
    </row>
    <row r="35" spans="1:4" x14ac:dyDescent="0.3">
      <c r="A35" s="201" t="s">
        <v>124</v>
      </c>
      <c r="B35" s="139"/>
      <c r="C35" s="167">
        <v>0</v>
      </c>
    </row>
    <row r="36" spans="1:4" x14ac:dyDescent="0.3">
      <c r="A36" s="201"/>
      <c r="B36" s="139"/>
      <c r="C36" s="121"/>
    </row>
    <row r="37" spans="1:4" x14ac:dyDescent="0.3">
      <c r="A37" s="201" t="s">
        <v>187</v>
      </c>
      <c r="B37" s="139"/>
      <c r="C37" s="140">
        <v>0.01</v>
      </c>
    </row>
    <row r="38" spans="1:4" x14ac:dyDescent="0.3">
      <c r="A38" s="201" t="s">
        <v>125</v>
      </c>
      <c r="B38" s="139"/>
      <c r="C38" s="140">
        <v>0.03</v>
      </c>
    </row>
    <row r="39" spans="1:4" x14ac:dyDescent="0.3">
      <c r="A39" s="203" t="s">
        <v>126</v>
      </c>
      <c r="B39" s="141"/>
      <c r="C39" s="142">
        <v>0.02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FD34-B6CB-49FE-A63E-015ABEA1D278}">
  <dimension ref="A1:L25"/>
  <sheetViews>
    <sheetView zoomScale="99" workbookViewId="0">
      <selection activeCell="C2" sqref="C2"/>
    </sheetView>
  </sheetViews>
  <sheetFormatPr defaultRowHeight="14.4" x14ac:dyDescent="0.3"/>
  <cols>
    <col min="1" max="1" width="21.6640625" style="135" customWidth="1"/>
    <col min="2" max="2" width="15" style="135" bestFit="1" customWidth="1"/>
    <col min="3" max="12" width="22.21875" style="135" bestFit="1" customWidth="1"/>
    <col min="13" max="16384" width="8.88671875" style="135"/>
  </cols>
  <sheetData>
    <row r="1" spans="1:12" x14ac:dyDescent="0.3">
      <c r="A1" s="117" t="s">
        <v>81</v>
      </c>
      <c r="B1" s="258" t="s">
        <v>67</v>
      </c>
      <c r="C1" s="119" t="s">
        <v>68</v>
      </c>
      <c r="D1" s="118" t="s">
        <v>73</v>
      </c>
      <c r="E1" s="119" t="s">
        <v>74</v>
      </c>
      <c r="F1" s="118" t="s">
        <v>75</v>
      </c>
      <c r="G1" s="119" t="s">
        <v>76</v>
      </c>
      <c r="H1" s="118" t="s">
        <v>77</v>
      </c>
      <c r="I1" s="119" t="s">
        <v>78</v>
      </c>
      <c r="J1" s="118" t="s">
        <v>79</v>
      </c>
      <c r="K1" s="119" t="s">
        <v>80</v>
      </c>
      <c r="L1" s="120" t="s">
        <v>69</v>
      </c>
    </row>
    <row r="2" spans="1:12" x14ac:dyDescent="0.3">
      <c r="A2" s="122" t="s">
        <v>4</v>
      </c>
      <c r="B2" s="259"/>
      <c r="C2" s="99">
        <f>((Assumptions!$C$6*Assumptions!$C$7*12*Assumptions!$C$22*Assumptions!$C$24)+(Assumptions!$C$10*Assumptions!$C$11*12*Assumptions!$C$22*Assumptions!$C$24)+(Assumptions!$C$14*Assumptions!$C$15*12*Assumptions!$C$22*Assumptions!$C$24)+(Assumptions!$C$18*Assumptions!$C$19*12*Assumptions!$C$22*Assumptions!$C$24))+((Assumptions!$C$6*Assumptions!$C$8*365*Assumptions!$C$23*Assumptions!$C$25)+(Assumptions!$C$10*Assumptions!$C$12*365*Assumptions!$C$23*Assumptions!$C$25)+(Assumptions!$C$14*Assumptions!$C$16*365*Assumptions!$C$23*Assumptions!$C$25)+(Assumptions!$C$18*Assumptions!$C$20*365*Assumptions!$C$23*Assumptions!$C$25))</f>
        <v>2470017000</v>
      </c>
      <c r="D2" s="204">
        <f>C2</f>
        <v>2470017000</v>
      </c>
      <c r="E2" s="129">
        <f>D2*(1+Assumptions!$C$38)</f>
        <v>2544117510</v>
      </c>
      <c r="F2" s="204">
        <f>E2</f>
        <v>2544117510</v>
      </c>
      <c r="G2" s="129">
        <f>F2*(1+Assumptions!$C$38)</f>
        <v>2620441035.3000002</v>
      </c>
      <c r="H2" s="204">
        <f t="shared" ref="H2" si="0">G2</f>
        <v>2620441035.3000002</v>
      </c>
      <c r="I2" s="129">
        <f>H2*(1+Assumptions!$C$38)</f>
        <v>2699054266.3590002</v>
      </c>
      <c r="J2" s="204">
        <f t="shared" ref="J2" si="1">I2</f>
        <v>2699054266.3590002</v>
      </c>
      <c r="K2" s="129">
        <f>J2*(1+Assumptions!$C$38)</f>
        <v>2780025894.3497701</v>
      </c>
      <c r="L2" s="125">
        <f t="shared" ref="L2" si="2">K2</f>
        <v>2780025894.3497701</v>
      </c>
    </row>
    <row r="3" spans="1:12" x14ac:dyDescent="0.3">
      <c r="A3" s="126" t="s">
        <v>5</v>
      </c>
      <c r="B3" s="259"/>
      <c r="C3" s="99">
        <f>-C2*Assumptions!$C$34</f>
        <v>0</v>
      </c>
      <c r="D3" s="99">
        <f>-D2*Assumptions!$C$34</f>
        <v>0</v>
      </c>
      <c r="E3" s="99">
        <f>-E2*Assumptions!$C$34</f>
        <v>0</v>
      </c>
      <c r="F3" s="99">
        <f>-F2*Assumptions!$C$34</f>
        <v>0</v>
      </c>
      <c r="G3" s="99">
        <f>-G2*Assumptions!$C$34</f>
        <v>0</v>
      </c>
      <c r="H3" s="99">
        <f>-H2*Assumptions!$C$34</f>
        <v>0</v>
      </c>
      <c r="I3" s="99">
        <f>-I2*Assumptions!$C$34</f>
        <v>0</v>
      </c>
      <c r="J3" s="99">
        <f>-J2*Assumptions!$C$34</f>
        <v>0</v>
      </c>
      <c r="K3" s="99">
        <f>-K2*Assumptions!$C$34</f>
        <v>0</v>
      </c>
      <c r="L3" s="100">
        <f>-L2*Assumptions!$C$34</f>
        <v>0</v>
      </c>
    </row>
    <row r="4" spans="1:12" x14ac:dyDescent="0.3">
      <c r="A4" s="126" t="s">
        <v>6</v>
      </c>
      <c r="B4" s="259"/>
      <c r="C4" s="99">
        <f>-((Assumptions!$C$6*Assumptions!$C$8*365*Assumptions!$C$23*Assumptions!$C$25*Assumptions!$C$30)+(Assumptions!$C$10*Assumptions!$C$12*365*Assumptions!$C$23*Assumptions!$C$25*Assumptions!$C$30)+(Assumptions!$C$14*Assumptions!$C$16*365*Assumptions!$C$23*Assumptions!$C$25*Assumptions!$C$30)+(Assumptions!$C$18*Assumptions!$C$20*365*Assumptions!$C$23*Assumptions!$C$25*Assumptions!$C$30))*Assumptions!$C$33</f>
        <v>-145310880</v>
      </c>
      <c r="D4" s="99">
        <f>C4</f>
        <v>-145310880</v>
      </c>
      <c r="E4" s="99">
        <f>D4*(1+Assumptions!$C$38)</f>
        <v>-149670206.40000001</v>
      </c>
      <c r="F4" s="99">
        <f>E4</f>
        <v>-149670206.40000001</v>
      </c>
      <c r="G4" s="99">
        <f>F4*(1+Assumptions!C38)</f>
        <v>-154160312.59200001</v>
      </c>
      <c r="H4" s="99">
        <f>G4</f>
        <v>-154160312.59200001</v>
      </c>
      <c r="I4" s="99">
        <f>H4*(1+Assumptions!C38)</f>
        <v>-158785121.96976</v>
      </c>
      <c r="J4" s="99">
        <f>I4</f>
        <v>-158785121.96976</v>
      </c>
      <c r="K4" s="99">
        <f>J4*(1+Assumptions!$C$38)</f>
        <v>-163548675.62885281</v>
      </c>
      <c r="L4" s="100">
        <f>K4</f>
        <v>-163548675.62885281</v>
      </c>
    </row>
    <row r="5" spans="1:12" x14ac:dyDescent="0.3">
      <c r="A5" s="122" t="s">
        <v>7</v>
      </c>
      <c r="B5" s="259"/>
      <c r="C5" s="99">
        <f>SUM(C2:C4)</f>
        <v>2324706120</v>
      </c>
      <c r="D5" s="99">
        <f t="shared" ref="D5:L5" si="3">SUM(D2:D4)</f>
        <v>2324706120</v>
      </c>
      <c r="E5" s="99">
        <f t="shared" si="3"/>
        <v>2394447303.5999999</v>
      </c>
      <c r="F5" s="99">
        <f t="shared" si="3"/>
        <v>2394447303.5999999</v>
      </c>
      <c r="G5" s="99">
        <f t="shared" si="3"/>
        <v>2466280722.7080002</v>
      </c>
      <c r="H5" s="99">
        <f t="shared" si="3"/>
        <v>2466280722.7080002</v>
      </c>
      <c r="I5" s="99">
        <f t="shared" si="3"/>
        <v>2540269144.3892403</v>
      </c>
      <c r="J5" s="99">
        <f t="shared" si="3"/>
        <v>2540269144.3892403</v>
      </c>
      <c r="K5" s="99">
        <f t="shared" si="3"/>
        <v>2616477218.7209172</v>
      </c>
      <c r="L5" s="100">
        <f t="shared" si="3"/>
        <v>2616477218.7209172</v>
      </c>
    </row>
    <row r="6" spans="1:12" x14ac:dyDescent="0.3">
      <c r="A6" s="127" t="s">
        <v>64</v>
      </c>
      <c r="B6" s="259"/>
      <c r="C6" s="99">
        <f>-'Opex Schedule'!B15</f>
        <v>-835200000</v>
      </c>
      <c r="D6" s="99">
        <f>-'Opex Schedule'!C15</f>
        <v>-884679000</v>
      </c>
      <c r="E6" s="99">
        <f>-'Opex Schedule'!D15</f>
        <v>-896848830</v>
      </c>
      <c r="F6" s="99">
        <f>-'Opex Schedule'!E15</f>
        <v>-909212819.10000002</v>
      </c>
      <c r="G6" s="99">
        <f>-'Opex Schedule'!F15</f>
        <v>-921774358.10699999</v>
      </c>
      <c r="H6" s="99">
        <f>-'Opex Schedule'!G15</f>
        <v>-934536900.72038996</v>
      </c>
      <c r="I6" s="99">
        <f>-'Opex Schedule'!H15</f>
        <v>-947503964.74056029</v>
      </c>
      <c r="J6" s="99">
        <f>-'Opex Schedule'!I15</f>
        <v>-960679133.30119157</v>
      </c>
      <c r="K6" s="99">
        <f>-'Opex Schedule'!J15</f>
        <v>-974066056.1256938</v>
      </c>
      <c r="L6" s="100">
        <f>-'Opex Schedule'!K15</f>
        <v>-987668450.80827069</v>
      </c>
    </row>
    <row r="7" spans="1:12" ht="27.6" x14ac:dyDescent="0.3">
      <c r="A7" s="122" t="s">
        <v>65</v>
      </c>
      <c r="B7" s="260"/>
      <c r="C7" s="213">
        <f>SUM(C5:C6)</f>
        <v>1489506120</v>
      </c>
      <c r="D7" s="213">
        <f t="shared" ref="D7:L7" si="4">SUM(D5:D6)</f>
        <v>1440027120</v>
      </c>
      <c r="E7" s="213">
        <f t="shared" si="4"/>
        <v>1497598473.5999999</v>
      </c>
      <c r="F7" s="213">
        <f t="shared" si="4"/>
        <v>1485234484.5</v>
      </c>
      <c r="G7" s="213">
        <f t="shared" si="4"/>
        <v>1544506364.6010003</v>
      </c>
      <c r="H7" s="213">
        <f t="shared" si="4"/>
        <v>1531743821.9876103</v>
      </c>
      <c r="I7" s="213">
        <f t="shared" si="4"/>
        <v>1592765179.64868</v>
      </c>
      <c r="J7" s="213">
        <f t="shared" si="4"/>
        <v>1579590011.0880487</v>
      </c>
      <c r="K7" s="213">
        <f t="shared" si="4"/>
        <v>1642411162.5952234</v>
      </c>
      <c r="L7" s="214">
        <f t="shared" si="4"/>
        <v>1628808767.9126465</v>
      </c>
    </row>
    <row r="8" spans="1:12" x14ac:dyDescent="0.3">
      <c r="A8" s="126" t="s">
        <v>10</v>
      </c>
      <c r="B8" s="259"/>
      <c r="C8" s="99">
        <f>-C7*Assumptions!$C$35</f>
        <v>0</v>
      </c>
      <c r="D8" s="99">
        <f>-D7*Assumptions!$C$35</f>
        <v>0</v>
      </c>
      <c r="E8" s="99">
        <f>-E7*Assumptions!$C$35</f>
        <v>0</v>
      </c>
      <c r="F8" s="99">
        <f>-F7*Assumptions!$C$35</f>
        <v>0</v>
      </c>
      <c r="G8" s="99">
        <f>-G7*Assumptions!$C$35</f>
        <v>0</v>
      </c>
      <c r="H8" s="99">
        <f>-H7*Assumptions!$C$35</f>
        <v>0</v>
      </c>
      <c r="I8" s="99">
        <f>-I7*Assumptions!$C$35</f>
        <v>0</v>
      </c>
      <c r="J8" s="99">
        <f>-J7*Assumptions!$C$35</f>
        <v>0</v>
      </c>
      <c r="K8" s="99">
        <f>-K7*Assumptions!$C$35</f>
        <v>0</v>
      </c>
      <c r="L8" s="100">
        <f>-L7*Assumptions!$C$35</f>
        <v>0</v>
      </c>
    </row>
    <row r="9" spans="1:12" s="212" customFormat="1" ht="27.6" x14ac:dyDescent="0.3">
      <c r="A9" s="199" t="s">
        <v>175</v>
      </c>
      <c r="B9" s="261"/>
      <c r="C9" s="205">
        <f>-'Loan Repayment Structure'!C13</f>
        <v>-357670772.87298095</v>
      </c>
      <c r="D9" s="205">
        <f>-'Loan Repayment Structure'!D13</f>
        <v>-357670772.87298095</v>
      </c>
      <c r="E9" s="205">
        <f>-'Loan Repayment Structure'!E13</f>
        <v>-357670772.87298095</v>
      </c>
      <c r="F9" s="205">
        <f>-'Loan Repayment Structure'!F13</f>
        <v>-357670772.87298095</v>
      </c>
      <c r="G9" s="205">
        <f>-'Loan Repayment Structure'!G13</f>
        <v>-357670772.87298095</v>
      </c>
      <c r="H9" s="205">
        <f>-'Loan Repayment Structure'!H13</f>
        <v>-357670772.87298095</v>
      </c>
      <c r="I9" s="205">
        <f>-'Loan Repayment Structure'!I13</f>
        <v>-357670772.87298095</v>
      </c>
      <c r="J9" s="205">
        <f>-'Loan Repayment Structure'!J13</f>
        <v>-357670772.87298095</v>
      </c>
      <c r="K9" s="205">
        <f>-'Loan Repayment Structure'!K13</f>
        <v>-357670772.87298095</v>
      </c>
      <c r="L9" s="206">
        <f>-'Loan Repayment Structure'!L13</f>
        <v>-357670772.87298095</v>
      </c>
    </row>
    <row r="10" spans="1:12" x14ac:dyDescent="0.3">
      <c r="A10" s="122" t="s">
        <v>66</v>
      </c>
      <c r="B10" s="259"/>
      <c r="C10" s="99">
        <f>SUM(C7:C9)</f>
        <v>1131835347.1270189</v>
      </c>
      <c r="D10" s="99">
        <f t="shared" ref="D10:L10" si="5">SUM(D7:D9)</f>
        <v>1082356347.1270189</v>
      </c>
      <c r="E10" s="99">
        <f t="shared" si="5"/>
        <v>1139927700.7270188</v>
      </c>
      <c r="F10" s="99">
        <f t="shared" si="5"/>
        <v>1127563711.6270189</v>
      </c>
      <c r="G10" s="99">
        <f t="shared" si="5"/>
        <v>1186835591.7280192</v>
      </c>
      <c r="H10" s="99">
        <f t="shared" si="5"/>
        <v>1174073049.1146293</v>
      </c>
      <c r="I10" s="99">
        <f t="shared" si="5"/>
        <v>1235094406.7756991</v>
      </c>
      <c r="J10" s="99">
        <f t="shared" si="5"/>
        <v>1221919238.2150679</v>
      </c>
      <c r="K10" s="99">
        <f t="shared" si="5"/>
        <v>1284740389.7222424</v>
      </c>
      <c r="L10" s="100">
        <f t="shared" si="5"/>
        <v>1271137995.0396657</v>
      </c>
    </row>
    <row r="11" spans="1:12" x14ac:dyDescent="0.3">
      <c r="A11" s="128" t="s">
        <v>42</v>
      </c>
      <c r="B11" s="262">
        <f>-(Assumptions!C3-'Loan Repayment Structure'!C3)</f>
        <v>-3600000000</v>
      </c>
      <c r="C11" s="129">
        <f t="shared" ref="C11:L11" si="6">C10</f>
        <v>1131835347.1270189</v>
      </c>
      <c r="D11" s="129">
        <f t="shared" si="6"/>
        <v>1082356347.1270189</v>
      </c>
      <c r="E11" s="129">
        <f t="shared" si="6"/>
        <v>1139927700.7270188</v>
      </c>
      <c r="F11" s="129">
        <f t="shared" si="6"/>
        <v>1127563711.6270189</v>
      </c>
      <c r="G11" s="129">
        <f t="shared" si="6"/>
        <v>1186835591.7280192</v>
      </c>
      <c r="H11" s="129">
        <f t="shared" si="6"/>
        <v>1174073049.1146293</v>
      </c>
      <c r="I11" s="129">
        <f t="shared" si="6"/>
        <v>1235094406.7756991</v>
      </c>
      <c r="J11" s="129">
        <f t="shared" si="6"/>
        <v>1221919238.2150679</v>
      </c>
      <c r="K11" s="129">
        <f t="shared" si="6"/>
        <v>1284740389.7222424</v>
      </c>
      <c r="L11" s="130">
        <f t="shared" si="6"/>
        <v>1271137995.0396657</v>
      </c>
    </row>
    <row r="12" spans="1:12" x14ac:dyDescent="0.3">
      <c r="A12" s="131" t="s">
        <v>82</v>
      </c>
      <c r="B12" s="263">
        <f>B11</f>
        <v>-3600000000</v>
      </c>
      <c r="C12" s="133">
        <f>B12+C11</f>
        <v>-2468164652.8729811</v>
      </c>
      <c r="D12" s="133">
        <f t="shared" ref="D12:L12" si="7">C12+D11</f>
        <v>-1385808305.7459621</v>
      </c>
      <c r="E12" s="133">
        <f t="shared" si="7"/>
        <v>-245880605.01894331</v>
      </c>
      <c r="F12" s="133">
        <f t="shared" si="7"/>
        <v>881683106.60807562</v>
      </c>
      <c r="G12" s="133">
        <f t="shared" si="7"/>
        <v>2068518698.3360949</v>
      </c>
      <c r="H12" s="133">
        <f t="shared" si="7"/>
        <v>3242591747.4507241</v>
      </c>
      <c r="I12" s="133">
        <f t="shared" si="7"/>
        <v>4477686154.2264233</v>
      </c>
      <c r="J12" s="133">
        <f t="shared" si="7"/>
        <v>5699605392.4414911</v>
      </c>
      <c r="K12" s="133">
        <f t="shared" si="7"/>
        <v>6984345782.1637335</v>
      </c>
      <c r="L12" s="134">
        <f t="shared" si="7"/>
        <v>8255483777.2033997</v>
      </c>
    </row>
    <row r="14" spans="1:12" x14ac:dyDescent="0.3">
      <c r="A14" s="145" t="s">
        <v>27</v>
      </c>
      <c r="B14" s="143">
        <f>IRR(B11:L11)</f>
        <v>0.29480111473941872</v>
      </c>
    </row>
    <row r="15" spans="1:12" x14ac:dyDescent="0.3">
      <c r="A15" s="98" t="s">
        <v>141</v>
      </c>
      <c r="B15" s="144">
        <f>SUM(D7:D8)/Assumptions!C3</f>
        <v>0.24000452</v>
      </c>
    </row>
    <row r="16" spans="1:12" x14ac:dyDescent="0.3">
      <c r="A16" s="101" t="s">
        <v>72</v>
      </c>
      <c r="B16" s="146" cm="1">
        <f t="array" ref="B16">(COUNTIF(B12:L12,"&lt;0")-1) + (-INDEX(B12:L12, COUNTIF(B12:L12,"&lt;0")) / INDEX(B11:L11, COUNTIF(B12:L12,"&lt;0")+1))</f>
        <v>3.2180636025117817</v>
      </c>
    </row>
    <row r="20" spans="1:12" x14ac:dyDescent="0.3">
      <c r="F20" s="209"/>
      <c r="G20" s="209"/>
    </row>
    <row r="21" spans="1:12" x14ac:dyDescent="0.3">
      <c r="C21" s="124"/>
      <c r="D21" s="124"/>
      <c r="E21" s="124"/>
      <c r="F21" s="124"/>
      <c r="G21" s="124"/>
      <c r="H21" s="124"/>
      <c r="I21" s="124"/>
      <c r="J21" s="124"/>
      <c r="K21" s="124"/>
      <c r="L21" s="124"/>
    </row>
    <row r="22" spans="1:12" x14ac:dyDescent="0.3">
      <c r="A22" s="210" t="s">
        <v>152</v>
      </c>
      <c r="B22" s="211">
        <f>Assumptions!C3*40%</f>
        <v>2400000000</v>
      </c>
      <c r="F22" s="124"/>
      <c r="G22" s="124"/>
      <c r="H22" s="124"/>
      <c r="I22" s="124"/>
      <c r="J22" s="124"/>
      <c r="K22" s="124"/>
      <c r="L22" s="124"/>
    </row>
    <row r="23" spans="1:12" x14ac:dyDescent="0.3">
      <c r="B23" s="135" t="s">
        <v>153</v>
      </c>
    </row>
    <row r="24" spans="1:12" x14ac:dyDescent="0.3">
      <c r="B24" s="135" t="s">
        <v>154</v>
      </c>
    </row>
    <row r="25" spans="1:12" x14ac:dyDescent="0.3">
      <c r="B25" s="135" t="s">
        <v>176</v>
      </c>
    </row>
  </sheetData>
  <phoneticPr fontId="6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D04B-BB9B-4A76-A10F-322FFB987E5B}">
  <dimension ref="B1:L16"/>
  <sheetViews>
    <sheetView zoomScale="110" zoomScaleNormal="110" workbookViewId="0">
      <selection activeCell="B4" sqref="B4"/>
    </sheetView>
  </sheetViews>
  <sheetFormatPr defaultRowHeight="14.4" x14ac:dyDescent="0.3"/>
  <cols>
    <col min="1" max="1" width="8.88671875" style="135"/>
    <col min="2" max="2" width="17" style="135" bestFit="1" customWidth="1"/>
    <col min="3" max="3" width="17" style="135" customWidth="1"/>
    <col min="4" max="11" width="16.109375" style="135" bestFit="1" customWidth="1"/>
    <col min="12" max="12" width="16.109375" style="135" customWidth="1"/>
    <col min="13" max="16384" width="8.88671875" style="135"/>
  </cols>
  <sheetData>
    <row r="1" spans="2:12" ht="15" thickBot="1" x14ac:dyDescent="0.35"/>
    <row r="2" spans="2:12" ht="15" thickBot="1" x14ac:dyDescent="0.35">
      <c r="B2" s="280" t="s">
        <v>155</v>
      </c>
      <c r="C2" s="281"/>
      <c r="E2" s="282" t="s">
        <v>174</v>
      </c>
      <c r="F2" s="283"/>
      <c r="G2" s="284"/>
    </row>
    <row r="3" spans="2:12" x14ac:dyDescent="0.3">
      <c r="B3" s="173" t="s">
        <v>205</v>
      </c>
      <c r="C3" s="174">
        <f>40%*Assumptions!C3</f>
        <v>2400000000</v>
      </c>
      <c r="E3" s="193" t="s">
        <v>167</v>
      </c>
      <c r="F3" s="194" t="s">
        <v>170</v>
      </c>
      <c r="G3" s="195" t="s">
        <v>171</v>
      </c>
    </row>
    <row r="4" spans="2:12" x14ac:dyDescent="0.3">
      <c r="B4" s="173" t="s">
        <v>156</v>
      </c>
      <c r="C4" s="175">
        <v>0.08</v>
      </c>
      <c r="E4" s="191" t="s">
        <v>168</v>
      </c>
      <c r="F4" s="190">
        <f>8%*C3</f>
        <v>192000000</v>
      </c>
      <c r="G4" s="192"/>
    </row>
    <row r="5" spans="2:12" x14ac:dyDescent="0.3">
      <c r="B5" s="173" t="s">
        <v>157</v>
      </c>
      <c r="C5" s="176">
        <v>10</v>
      </c>
      <c r="E5" s="191" t="s">
        <v>169</v>
      </c>
      <c r="F5" s="190">
        <f>C9-F4</f>
        <v>165670772.87298095</v>
      </c>
      <c r="G5" s="192"/>
    </row>
    <row r="6" spans="2:12" ht="58.2" thickBot="1" x14ac:dyDescent="0.35">
      <c r="B6" s="177" t="s">
        <v>158</v>
      </c>
      <c r="C6" s="178" t="s">
        <v>159</v>
      </c>
      <c r="E6" s="196" t="s">
        <v>172</v>
      </c>
      <c r="F6" s="197"/>
      <c r="G6" s="198">
        <f>C9</f>
        <v>357670772.87298095</v>
      </c>
    </row>
    <row r="7" spans="2:12" ht="15" thickBot="1" x14ac:dyDescent="0.35"/>
    <row r="8" spans="2:12" ht="15" thickBot="1" x14ac:dyDescent="0.35">
      <c r="B8" s="179" t="s">
        <v>173</v>
      </c>
      <c r="C8" s="189">
        <f>IPMT(C4,1,C5,-C3,,0)</f>
        <v>192000000</v>
      </c>
    </row>
    <row r="9" spans="2:12" ht="15" thickBot="1" x14ac:dyDescent="0.35">
      <c r="B9" s="179" t="s">
        <v>166</v>
      </c>
      <c r="C9" s="189">
        <f>PMT(C4,C5,-C3,,0)</f>
        <v>357670772.87298095</v>
      </c>
    </row>
    <row r="10" spans="2:12" ht="15" thickBot="1" x14ac:dyDescent="0.35"/>
    <row r="11" spans="2:12" x14ac:dyDescent="0.3">
      <c r="B11" s="182" t="s">
        <v>160</v>
      </c>
      <c r="C11" s="183">
        <v>1</v>
      </c>
      <c r="D11" s="180">
        <v>2</v>
      </c>
      <c r="E11" s="180">
        <v>3</v>
      </c>
      <c r="F11" s="180">
        <v>4</v>
      </c>
      <c r="G11" s="180">
        <v>5</v>
      </c>
      <c r="H11" s="180">
        <v>6</v>
      </c>
      <c r="I11" s="180">
        <v>7</v>
      </c>
      <c r="J11" s="180">
        <v>8</v>
      </c>
      <c r="K11" s="180">
        <v>9</v>
      </c>
      <c r="L11" s="181">
        <v>10</v>
      </c>
    </row>
    <row r="12" spans="2:12" x14ac:dyDescent="0.3">
      <c r="B12" s="170" t="s">
        <v>161</v>
      </c>
      <c r="C12" s="184">
        <f>C3</f>
        <v>2400000000</v>
      </c>
      <c r="D12" s="184">
        <f>C16</f>
        <v>2234329227.1270189</v>
      </c>
      <c r="E12" s="184">
        <f t="shared" ref="E12:L12" si="0">D16</f>
        <v>2055404792.4241996</v>
      </c>
      <c r="F12" s="184">
        <f t="shared" si="0"/>
        <v>1862166402.9451547</v>
      </c>
      <c r="G12" s="184">
        <f t="shared" si="0"/>
        <v>1653468942.307786</v>
      </c>
      <c r="H12" s="184">
        <f t="shared" si="0"/>
        <v>1428075684.819428</v>
      </c>
      <c r="I12" s="184">
        <f t="shared" si="0"/>
        <v>1184650966.7320013</v>
      </c>
      <c r="J12" s="184">
        <f t="shared" si="0"/>
        <v>921752271.19758046</v>
      </c>
      <c r="K12" s="184">
        <f t="shared" si="0"/>
        <v>637821680.02040601</v>
      </c>
      <c r="L12" s="185">
        <f t="shared" si="0"/>
        <v>331176641.54905754</v>
      </c>
    </row>
    <row r="13" spans="2:12" x14ac:dyDescent="0.3">
      <c r="B13" s="171" t="s">
        <v>162</v>
      </c>
      <c r="C13" s="99">
        <f>$C$9</f>
        <v>357670772.87298095</v>
      </c>
      <c r="D13" s="99">
        <f t="shared" ref="D13:L13" si="1">$C$9</f>
        <v>357670772.87298095</v>
      </c>
      <c r="E13" s="99">
        <f t="shared" si="1"/>
        <v>357670772.87298095</v>
      </c>
      <c r="F13" s="99">
        <f t="shared" si="1"/>
        <v>357670772.87298095</v>
      </c>
      <c r="G13" s="99">
        <f t="shared" si="1"/>
        <v>357670772.87298095</v>
      </c>
      <c r="H13" s="99">
        <f t="shared" si="1"/>
        <v>357670772.87298095</v>
      </c>
      <c r="I13" s="99">
        <f t="shared" si="1"/>
        <v>357670772.87298095</v>
      </c>
      <c r="J13" s="99">
        <f t="shared" si="1"/>
        <v>357670772.87298095</v>
      </c>
      <c r="K13" s="99">
        <f t="shared" si="1"/>
        <v>357670772.87298095</v>
      </c>
      <c r="L13" s="186">
        <f t="shared" si="1"/>
        <v>357670772.87298095</v>
      </c>
    </row>
    <row r="14" spans="2:12" x14ac:dyDescent="0.3">
      <c r="B14" s="171" t="s">
        <v>163</v>
      </c>
      <c r="C14" s="99">
        <f>C12*8%</f>
        <v>192000000</v>
      </c>
      <c r="D14" s="99">
        <f t="shared" ref="D14:L14" si="2">D12*8%</f>
        <v>178746338.17016152</v>
      </c>
      <c r="E14" s="99">
        <f t="shared" si="2"/>
        <v>164432383.39393598</v>
      </c>
      <c r="F14" s="99">
        <f t="shared" si="2"/>
        <v>148973312.23561236</v>
      </c>
      <c r="G14" s="99">
        <f t="shared" si="2"/>
        <v>132277515.38462289</v>
      </c>
      <c r="H14" s="99">
        <f t="shared" si="2"/>
        <v>114246054.78555425</v>
      </c>
      <c r="I14" s="99">
        <f t="shared" si="2"/>
        <v>94772077.338560104</v>
      </c>
      <c r="J14" s="99">
        <f t="shared" si="2"/>
        <v>73740181.695806444</v>
      </c>
      <c r="K14" s="99">
        <f t="shared" si="2"/>
        <v>51025734.40163248</v>
      </c>
      <c r="L14" s="186">
        <f t="shared" si="2"/>
        <v>26494131.323924605</v>
      </c>
    </row>
    <row r="15" spans="2:12" x14ac:dyDescent="0.3">
      <c r="B15" s="171" t="s">
        <v>164</v>
      </c>
      <c r="C15" s="99">
        <f t="shared" ref="C15:L15" si="3">C13-C14</f>
        <v>165670772.87298095</v>
      </c>
      <c r="D15" s="99">
        <f t="shared" si="3"/>
        <v>178924434.70281944</v>
      </c>
      <c r="E15" s="99">
        <f t="shared" si="3"/>
        <v>193238389.47904497</v>
      </c>
      <c r="F15" s="99">
        <f t="shared" si="3"/>
        <v>208697460.63736859</v>
      </c>
      <c r="G15" s="99">
        <f t="shared" si="3"/>
        <v>225393257.48835808</v>
      </c>
      <c r="H15" s="99">
        <f t="shared" si="3"/>
        <v>243424718.08742672</v>
      </c>
      <c r="I15" s="99">
        <f t="shared" si="3"/>
        <v>262898695.53442085</v>
      </c>
      <c r="J15" s="99">
        <f t="shared" si="3"/>
        <v>283930591.17717451</v>
      </c>
      <c r="K15" s="99">
        <f t="shared" si="3"/>
        <v>306645038.47134846</v>
      </c>
      <c r="L15" s="186">
        <f t="shared" si="3"/>
        <v>331176641.54905635</v>
      </c>
    </row>
    <row r="16" spans="2:12" ht="15" thickBot="1" x14ac:dyDescent="0.35">
      <c r="B16" s="172" t="s">
        <v>165</v>
      </c>
      <c r="C16" s="187">
        <f>C12-C15</f>
        <v>2234329227.1270189</v>
      </c>
      <c r="D16" s="187">
        <f t="shared" ref="D16:L16" si="4">D12-D15</f>
        <v>2055404792.4241996</v>
      </c>
      <c r="E16" s="187">
        <f t="shared" si="4"/>
        <v>1862166402.9451547</v>
      </c>
      <c r="F16" s="187">
        <f t="shared" si="4"/>
        <v>1653468942.307786</v>
      </c>
      <c r="G16" s="187">
        <f t="shared" si="4"/>
        <v>1428075684.819428</v>
      </c>
      <c r="H16" s="187">
        <f t="shared" si="4"/>
        <v>1184650966.7320013</v>
      </c>
      <c r="I16" s="187">
        <f t="shared" si="4"/>
        <v>921752271.19758046</v>
      </c>
      <c r="J16" s="187">
        <f t="shared" si="4"/>
        <v>637821680.02040601</v>
      </c>
      <c r="K16" s="187">
        <f t="shared" si="4"/>
        <v>331176641.54905754</v>
      </c>
      <c r="L16" s="188">
        <f t="shared" si="4"/>
        <v>1.1920928955078125E-6</v>
      </c>
    </row>
  </sheetData>
  <mergeCells count="2">
    <mergeCell ref="B2:C2"/>
    <mergeCell ref="E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B7B6-EAA0-4AB7-839C-A4FB54CCDEF1}">
  <dimension ref="D2:G8"/>
  <sheetViews>
    <sheetView zoomScale="170" zoomScaleNormal="170" workbookViewId="0">
      <selection activeCell="G11" sqref="G11"/>
    </sheetView>
  </sheetViews>
  <sheetFormatPr defaultRowHeight="14.4" x14ac:dyDescent="0.3"/>
  <cols>
    <col min="1" max="3" width="8.88671875" style="135"/>
    <col min="4" max="4" width="16.21875" style="135" bestFit="1" customWidth="1"/>
    <col min="5" max="5" width="8.88671875" style="135"/>
    <col min="6" max="6" width="11.44140625" style="135" bestFit="1" customWidth="1"/>
    <col min="7" max="7" width="14" style="135" bestFit="1" customWidth="1"/>
    <col min="8" max="16384" width="8.88671875" style="135"/>
  </cols>
  <sheetData>
    <row r="2" spans="4:7" x14ac:dyDescent="0.3">
      <c r="D2" s="286" t="s">
        <v>191</v>
      </c>
      <c r="E2" s="287"/>
      <c r="F2" s="287"/>
      <c r="G2" s="288"/>
    </row>
    <row r="3" spans="4:7" x14ac:dyDescent="0.3">
      <c r="D3" s="220" t="s">
        <v>167</v>
      </c>
      <c r="E3" s="217" t="s">
        <v>193</v>
      </c>
      <c r="F3" s="218" t="s">
        <v>196</v>
      </c>
      <c r="G3" s="221" t="s">
        <v>197</v>
      </c>
    </row>
    <row r="4" spans="4:7" x14ac:dyDescent="0.3">
      <c r="D4" s="222" t="s">
        <v>192</v>
      </c>
      <c r="E4" s="219">
        <v>1</v>
      </c>
      <c r="F4" s="215">
        <v>6000000</v>
      </c>
      <c r="G4" s="223">
        <f>E4*F4</f>
        <v>6000000</v>
      </c>
    </row>
    <row r="5" spans="4:7" x14ac:dyDescent="0.3">
      <c r="D5" s="222" t="s">
        <v>198</v>
      </c>
      <c r="E5" s="219">
        <v>1</v>
      </c>
      <c r="F5" s="215">
        <v>3500000</v>
      </c>
      <c r="G5" s="223">
        <f>E5*F5</f>
        <v>3500000</v>
      </c>
    </row>
    <row r="6" spans="4:7" x14ac:dyDescent="0.3">
      <c r="D6" s="222" t="s">
        <v>194</v>
      </c>
      <c r="E6" s="219">
        <v>4</v>
      </c>
      <c r="F6" s="215">
        <f>2500000</f>
        <v>2500000</v>
      </c>
      <c r="G6" s="186">
        <f t="shared" ref="G6:G7" si="0">E6*F6</f>
        <v>10000000</v>
      </c>
    </row>
    <row r="7" spans="4:7" ht="15" thickBot="1" x14ac:dyDescent="0.35">
      <c r="D7" s="224" t="s">
        <v>195</v>
      </c>
      <c r="E7" s="225">
        <v>6</v>
      </c>
      <c r="F7" s="226">
        <f>3000000</f>
        <v>3000000</v>
      </c>
      <c r="G7" s="188">
        <f t="shared" si="0"/>
        <v>18000000</v>
      </c>
    </row>
    <row r="8" spans="4:7" ht="16.2" x14ac:dyDescent="0.45">
      <c r="D8" s="285"/>
      <c r="E8" s="285"/>
      <c r="F8" s="216"/>
      <c r="G8" s="227">
        <f>SUM(G4:G7)</f>
        <v>37500000</v>
      </c>
    </row>
  </sheetData>
  <mergeCells count="2">
    <mergeCell ref="D8:E8"/>
    <mergeCell ref="D2:G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BB58-BFBA-4E3A-B177-2910D1ACA578}">
  <sheetPr>
    <pageSetUpPr autoPageBreaks="0"/>
  </sheetPr>
  <dimension ref="A1:P71"/>
  <sheetViews>
    <sheetView zoomScale="80" zoomScaleNormal="80" workbookViewId="0">
      <selection activeCell="C6" sqref="C6"/>
    </sheetView>
  </sheetViews>
  <sheetFormatPr defaultColWidth="8.88671875" defaultRowHeight="14.4" x14ac:dyDescent="0.3"/>
  <cols>
    <col min="1" max="1" width="27.109375" style="55" customWidth="1"/>
    <col min="2" max="2" width="18.21875" style="55" bestFit="1" customWidth="1"/>
    <col min="3" max="7" width="17.88671875" style="55" bestFit="1" customWidth="1"/>
    <col min="8" max="8" width="21.5546875" style="55" customWidth="1"/>
    <col min="9" max="12" width="17.21875" style="55" bestFit="1" customWidth="1"/>
    <col min="13" max="13" width="12.88671875" style="55" bestFit="1" customWidth="1"/>
    <col min="14" max="14" width="6.109375" style="55" bestFit="1" customWidth="1"/>
    <col min="15" max="16384" width="8.88671875" style="55"/>
  </cols>
  <sheetData>
    <row r="1" spans="1:4" x14ac:dyDescent="0.3">
      <c r="A1" s="88" t="s">
        <v>45</v>
      </c>
      <c r="B1" s="41"/>
      <c r="C1" s="89" t="s">
        <v>84</v>
      </c>
    </row>
    <row r="2" spans="1:4" x14ac:dyDescent="0.3">
      <c r="A2" s="42" t="s">
        <v>46</v>
      </c>
      <c r="B2" s="16"/>
      <c r="C2" s="27"/>
    </row>
    <row r="3" spans="1:4" x14ac:dyDescent="0.3">
      <c r="A3" s="43" t="s">
        <v>47</v>
      </c>
      <c r="B3" s="16"/>
      <c r="C3" s="28">
        <v>6500000000</v>
      </c>
    </row>
    <row r="4" spans="1:4" x14ac:dyDescent="0.3">
      <c r="A4" s="37"/>
      <c r="B4" s="16"/>
      <c r="C4" s="27"/>
    </row>
    <row r="5" spans="1:4" x14ac:dyDescent="0.3">
      <c r="A5" s="44" t="s">
        <v>48</v>
      </c>
      <c r="B5" s="16"/>
      <c r="C5" s="27"/>
    </row>
    <row r="6" spans="1:4" x14ac:dyDescent="0.3">
      <c r="A6" s="43" t="s">
        <v>49</v>
      </c>
      <c r="B6" s="16"/>
      <c r="C6" s="29">
        <v>44</v>
      </c>
    </row>
    <row r="7" spans="1:4" x14ac:dyDescent="0.3">
      <c r="A7" s="43" t="s">
        <v>50</v>
      </c>
      <c r="B7" s="16"/>
      <c r="C7" s="28">
        <v>4600000</v>
      </c>
      <c r="D7" s="82"/>
    </row>
    <row r="8" spans="1:4" x14ac:dyDescent="0.3">
      <c r="A8" s="37"/>
      <c r="B8" s="16"/>
      <c r="C8" s="27"/>
    </row>
    <row r="9" spans="1:4" x14ac:dyDescent="0.3">
      <c r="A9" s="45" t="s">
        <v>51</v>
      </c>
      <c r="B9" s="16"/>
      <c r="C9" s="27"/>
    </row>
    <row r="10" spans="1:4" x14ac:dyDescent="0.3">
      <c r="A10" s="43" t="s">
        <v>52</v>
      </c>
      <c r="B10" s="16"/>
      <c r="C10" s="30">
        <v>0.05</v>
      </c>
    </row>
    <row r="11" spans="1:4" x14ac:dyDescent="0.3">
      <c r="A11" s="43" t="s">
        <v>53</v>
      </c>
      <c r="B11" s="16"/>
      <c r="C11" s="30"/>
    </row>
    <row r="12" spans="1:4" x14ac:dyDescent="0.3">
      <c r="A12" s="37"/>
      <c r="B12" s="16"/>
      <c r="C12" s="27"/>
    </row>
    <row r="13" spans="1:4" x14ac:dyDescent="0.3">
      <c r="A13" s="45" t="s">
        <v>54</v>
      </c>
      <c r="B13" s="16"/>
      <c r="C13" s="27"/>
    </row>
    <row r="14" spans="1:4" x14ac:dyDescent="0.3">
      <c r="A14" s="43" t="s">
        <v>55</v>
      </c>
      <c r="B14" s="16"/>
      <c r="C14" s="30">
        <v>0.85</v>
      </c>
    </row>
    <row r="15" spans="1:4" x14ac:dyDescent="0.3">
      <c r="A15" s="43" t="s">
        <v>56</v>
      </c>
      <c r="B15" s="16"/>
      <c r="C15" s="30">
        <v>0.92</v>
      </c>
    </row>
    <row r="16" spans="1:4" x14ac:dyDescent="0.3">
      <c r="A16" s="37"/>
      <c r="B16" s="16"/>
      <c r="C16" s="27"/>
    </row>
    <row r="17" spans="1:12" x14ac:dyDescent="0.3">
      <c r="A17" s="45" t="s">
        <v>57</v>
      </c>
      <c r="B17" s="16"/>
      <c r="C17" s="27"/>
    </row>
    <row r="18" spans="1:12" x14ac:dyDescent="0.3">
      <c r="A18" s="43" t="s">
        <v>5</v>
      </c>
      <c r="B18" s="16"/>
      <c r="C18" s="30">
        <v>2.5000000000000001E-2</v>
      </c>
    </row>
    <row r="19" spans="1:12" x14ac:dyDescent="0.3">
      <c r="A19" s="37" t="s">
        <v>6</v>
      </c>
      <c r="B19" s="16"/>
      <c r="C19" s="30">
        <v>9.2999999999999999E-2</v>
      </c>
    </row>
    <row r="20" spans="1:12" x14ac:dyDescent="0.3">
      <c r="A20" s="43" t="s">
        <v>58</v>
      </c>
      <c r="B20" s="16"/>
      <c r="C20" s="30">
        <v>0.29599999999999999</v>
      </c>
    </row>
    <row r="21" spans="1:12" x14ac:dyDescent="0.3">
      <c r="A21" s="46" t="s">
        <v>59</v>
      </c>
      <c r="B21" s="31"/>
      <c r="C21" s="32">
        <v>0.18</v>
      </c>
    </row>
    <row r="22" spans="1:12" x14ac:dyDescent="0.3">
      <c r="A22" s="56"/>
      <c r="B22" s="57"/>
      <c r="C22" s="58"/>
    </row>
    <row r="24" spans="1:12" x14ac:dyDescent="0.3">
      <c r="A24" s="53" t="s">
        <v>81</v>
      </c>
      <c r="B24" s="33" t="s">
        <v>67</v>
      </c>
      <c r="C24" s="34" t="s">
        <v>68</v>
      </c>
      <c r="D24" s="33" t="s">
        <v>73</v>
      </c>
      <c r="E24" s="34" t="s">
        <v>74</v>
      </c>
      <c r="F24" s="33" t="s">
        <v>75</v>
      </c>
      <c r="G24" s="34" t="s">
        <v>76</v>
      </c>
      <c r="H24" s="33" t="s">
        <v>77</v>
      </c>
      <c r="I24" s="34" t="s">
        <v>78</v>
      </c>
      <c r="J24" s="33" t="s">
        <v>79</v>
      </c>
      <c r="K24" s="34" t="s">
        <v>80</v>
      </c>
      <c r="L24" s="35" t="s">
        <v>69</v>
      </c>
    </row>
    <row r="25" spans="1:12" x14ac:dyDescent="0.3">
      <c r="A25" s="36" t="s">
        <v>60</v>
      </c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9"/>
    </row>
    <row r="26" spans="1:12" x14ac:dyDescent="0.3">
      <c r="A26" s="37" t="s">
        <v>61</v>
      </c>
      <c r="B26" s="17"/>
      <c r="C26" s="20">
        <f>$C$6*$C$7*12</f>
        <v>2428800000</v>
      </c>
      <c r="D26" s="66">
        <f>C26*(1+$C$10)</f>
        <v>2550240000</v>
      </c>
      <c r="E26" s="66">
        <f t="shared" ref="E26:L26" si="0">D26*(1+$C$10)</f>
        <v>2677752000</v>
      </c>
      <c r="F26" s="66">
        <f t="shared" si="0"/>
        <v>2811639600</v>
      </c>
      <c r="G26" s="66">
        <f t="shared" si="0"/>
        <v>2952221580</v>
      </c>
      <c r="H26" s="66">
        <f t="shared" si="0"/>
        <v>3099832659</v>
      </c>
      <c r="I26" s="66">
        <f t="shared" si="0"/>
        <v>3254824291.9500003</v>
      </c>
      <c r="J26" s="66">
        <f t="shared" si="0"/>
        <v>3417565506.5475006</v>
      </c>
      <c r="K26" s="66">
        <f t="shared" si="0"/>
        <v>3588443781.874876</v>
      </c>
      <c r="L26" s="68">
        <f t="shared" si="0"/>
        <v>3767865970.9686198</v>
      </c>
    </row>
    <row r="27" spans="1:12" x14ac:dyDescent="0.3">
      <c r="A27" s="37" t="s">
        <v>62</v>
      </c>
      <c r="B27" s="17"/>
      <c r="C27" s="20">
        <f>C26*(1-$C$14)</f>
        <v>364320000.00000006</v>
      </c>
      <c r="D27" s="20">
        <f>D26*(1-$C$15)</f>
        <v>204019199.99999991</v>
      </c>
      <c r="E27" s="20">
        <f t="shared" ref="E27:L27" si="1">E26*(1-$C$15)</f>
        <v>214220159.99999988</v>
      </c>
      <c r="F27" s="20">
        <f t="shared" si="1"/>
        <v>224931167.99999988</v>
      </c>
      <c r="G27" s="20">
        <f t="shared" si="1"/>
        <v>236177726.39999989</v>
      </c>
      <c r="H27" s="20">
        <f t="shared" si="1"/>
        <v>247986612.71999988</v>
      </c>
      <c r="I27" s="20">
        <f t="shared" si="1"/>
        <v>260385943.35599989</v>
      </c>
      <c r="J27" s="20">
        <f t="shared" si="1"/>
        <v>273405240.5237999</v>
      </c>
      <c r="K27" s="20">
        <f t="shared" si="1"/>
        <v>287075502.54998994</v>
      </c>
      <c r="L27" s="69">
        <f t="shared" si="1"/>
        <v>301429277.67748946</v>
      </c>
    </row>
    <row r="28" spans="1:12" x14ac:dyDescent="0.3">
      <c r="A28" s="38" t="s">
        <v>4</v>
      </c>
      <c r="B28" s="17"/>
      <c r="C28" s="20">
        <f>C26-C27</f>
        <v>2064480000</v>
      </c>
      <c r="D28" s="20">
        <f t="shared" ref="D28:L28" si="2">D26-D27</f>
        <v>2346220800</v>
      </c>
      <c r="E28" s="20">
        <f t="shared" si="2"/>
        <v>2463531840</v>
      </c>
      <c r="F28" s="20">
        <f t="shared" si="2"/>
        <v>2586708432</v>
      </c>
      <c r="G28" s="20">
        <f t="shared" si="2"/>
        <v>2716043853.5999999</v>
      </c>
      <c r="H28" s="20">
        <f t="shared" si="2"/>
        <v>2851846046.2800002</v>
      </c>
      <c r="I28" s="20">
        <f t="shared" si="2"/>
        <v>2994438348.5940003</v>
      </c>
      <c r="J28" s="20">
        <f t="shared" si="2"/>
        <v>3144160266.0237007</v>
      </c>
      <c r="K28" s="20">
        <f t="shared" si="2"/>
        <v>3301368279.3248863</v>
      </c>
      <c r="L28" s="69">
        <f t="shared" si="2"/>
        <v>3466436693.2911305</v>
      </c>
    </row>
    <row r="29" spans="1:12" x14ac:dyDescent="0.3">
      <c r="A29" s="38" t="s">
        <v>63</v>
      </c>
      <c r="B29" s="17"/>
      <c r="C29" s="65"/>
      <c r="D29" s="65"/>
      <c r="E29" s="20"/>
      <c r="F29" s="20"/>
      <c r="G29" s="20"/>
      <c r="H29" s="20"/>
      <c r="I29" s="20"/>
      <c r="J29" s="20"/>
      <c r="K29" s="20"/>
      <c r="L29" s="69"/>
    </row>
    <row r="30" spans="1:12" x14ac:dyDescent="0.3">
      <c r="A30" s="37" t="s">
        <v>5</v>
      </c>
      <c r="B30" s="17"/>
      <c r="C30" s="20">
        <f>-C28*$C$18</f>
        <v>-51612000</v>
      </c>
      <c r="D30" s="20">
        <f t="shared" ref="D30:L30" si="3">-D28*$C$18</f>
        <v>-58655520</v>
      </c>
      <c r="E30" s="20">
        <f t="shared" si="3"/>
        <v>-61588296</v>
      </c>
      <c r="F30" s="20">
        <f t="shared" si="3"/>
        <v>-64667710.800000004</v>
      </c>
      <c r="G30" s="20">
        <f t="shared" si="3"/>
        <v>-67901096.340000004</v>
      </c>
      <c r="H30" s="20">
        <f t="shared" si="3"/>
        <v>-71296151.157000005</v>
      </c>
      <c r="I30" s="20">
        <f t="shared" si="3"/>
        <v>-74860958.714850008</v>
      </c>
      <c r="J30" s="20">
        <f t="shared" si="3"/>
        <v>-78604006.650592521</v>
      </c>
      <c r="K30" s="20">
        <f t="shared" si="3"/>
        <v>-82534206.98312217</v>
      </c>
      <c r="L30" s="69">
        <f t="shared" si="3"/>
        <v>-86660917.332278267</v>
      </c>
    </row>
    <row r="31" spans="1:12" x14ac:dyDescent="0.3">
      <c r="A31" s="37" t="s">
        <v>6</v>
      </c>
      <c r="B31" s="17"/>
      <c r="C31" s="66">
        <f>-C28*$C$19</f>
        <v>-191996640</v>
      </c>
      <c r="D31" s="66">
        <f t="shared" ref="D31:L31" si="4">-D28*$C$19</f>
        <v>-218198534.40000001</v>
      </c>
      <c r="E31" s="66">
        <f t="shared" si="4"/>
        <v>-229108461.12</v>
      </c>
      <c r="F31" s="66">
        <f t="shared" si="4"/>
        <v>-240563884.176</v>
      </c>
      <c r="G31" s="66">
        <f t="shared" si="4"/>
        <v>-252592078.38479999</v>
      </c>
      <c r="H31" s="66">
        <f t="shared" si="4"/>
        <v>-265221682.30404001</v>
      </c>
      <c r="I31" s="66">
        <f t="shared" si="4"/>
        <v>-278482766.41924202</v>
      </c>
      <c r="J31" s="66">
        <f t="shared" si="4"/>
        <v>-292406904.74020416</v>
      </c>
      <c r="K31" s="66">
        <f t="shared" si="4"/>
        <v>-307027249.9772144</v>
      </c>
      <c r="L31" s="68">
        <f t="shared" si="4"/>
        <v>-322378612.47607511</v>
      </c>
    </row>
    <row r="32" spans="1:12" x14ac:dyDescent="0.3">
      <c r="A32" s="38" t="s">
        <v>7</v>
      </c>
      <c r="B32" s="17"/>
      <c r="C32" s="66">
        <f>SUM(C28:C31)</f>
        <v>1820871360</v>
      </c>
      <c r="D32" s="66">
        <f t="shared" ref="D32:L32" si="5">SUM(D28:D31)</f>
        <v>2069366745.5999999</v>
      </c>
      <c r="E32" s="66">
        <f t="shared" si="5"/>
        <v>2172835082.8800001</v>
      </c>
      <c r="F32" s="66">
        <f t="shared" si="5"/>
        <v>2281476837.0239997</v>
      </c>
      <c r="G32" s="66">
        <f t="shared" si="5"/>
        <v>2395550678.8751998</v>
      </c>
      <c r="H32" s="66">
        <f t="shared" si="5"/>
        <v>2515328212.8189602</v>
      </c>
      <c r="I32" s="66">
        <f t="shared" si="5"/>
        <v>2641094623.4599085</v>
      </c>
      <c r="J32" s="66">
        <f t="shared" si="5"/>
        <v>2773149354.6329041</v>
      </c>
      <c r="K32" s="66">
        <f t="shared" si="5"/>
        <v>2911806822.3645496</v>
      </c>
      <c r="L32" s="68">
        <f t="shared" si="5"/>
        <v>3057397163.4827771</v>
      </c>
    </row>
    <row r="33" spans="1:12" x14ac:dyDescent="0.3">
      <c r="A33" s="37" t="s">
        <v>64</v>
      </c>
      <c r="B33" s="17"/>
      <c r="C33" s="20">
        <f>-C28*$C$20</f>
        <v>-611086080</v>
      </c>
      <c r="D33" s="20">
        <f>C33*(1+$C$11)</f>
        <v>-611086080</v>
      </c>
      <c r="E33" s="20">
        <f t="shared" ref="E33:L33" si="6">D33*(1+$C$11)</f>
        <v>-611086080</v>
      </c>
      <c r="F33" s="20">
        <f t="shared" si="6"/>
        <v>-611086080</v>
      </c>
      <c r="G33" s="20">
        <f t="shared" si="6"/>
        <v>-611086080</v>
      </c>
      <c r="H33" s="20">
        <f t="shared" si="6"/>
        <v>-611086080</v>
      </c>
      <c r="I33" s="20">
        <f t="shared" si="6"/>
        <v>-611086080</v>
      </c>
      <c r="J33" s="20">
        <f t="shared" si="6"/>
        <v>-611086080</v>
      </c>
      <c r="K33" s="20">
        <f t="shared" si="6"/>
        <v>-611086080</v>
      </c>
      <c r="L33" s="20">
        <f t="shared" si="6"/>
        <v>-611086080</v>
      </c>
    </row>
    <row r="34" spans="1:12" s="64" customFormat="1" ht="14.4" customHeight="1" x14ac:dyDescent="0.3">
      <c r="A34" s="38" t="s">
        <v>65</v>
      </c>
      <c r="B34" s="18"/>
      <c r="C34" s="65">
        <f>SUM(C32:C33)</f>
        <v>1209785280</v>
      </c>
      <c r="D34" s="70">
        <f>SUM(D32:D33)</f>
        <v>1458280665.5999999</v>
      </c>
      <c r="E34" s="70">
        <f t="shared" ref="E34:L34" si="7">SUM(E32:E33)</f>
        <v>1561749002.8800001</v>
      </c>
      <c r="F34" s="70">
        <f t="shared" si="7"/>
        <v>1670390757.0239997</v>
      </c>
      <c r="G34" s="70">
        <f t="shared" si="7"/>
        <v>1784464598.8751998</v>
      </c>
      <c r="H34" s="70">
        <f t="shared" si="7"/>
        <v>1904242132.8189602</v>
      </c>
      <c r="I34" s="70">
        <f t="shared" si="7"/>
        <v>2030008543.4599085</v>
      </c>
      <c r="J34" s="70">
        <f t="shared" si="7"/>
        <v>2162063274.6329041</v>
      </c>
      <c r="K34" s="70">
        <f t="shared" si="7"/>
        <v>2300720742.3645496</v>
      </c>
      <c r="L34" s="71">
        <f t="shared" si="7"/>
        <v>2446311083.4827771</v>
      </c>
    </row>
    <row r="35" spans="1:12" x14ac:dyDescent="0.3">
      <c r="A35" s="37" t="s">
        <v>10</v>
      </c>
      <c r="B35" s="17"/>
      <c r="C35" s="20">
        <f>-C34*$C$21</f>
        <v>-217761350.40000001</v>
      </c>
      <c r="D35" s="20">
        <f t="shared" ref="D35:L35" si="8">-D34*$C$21</f>
        <v>-262490519.80799997</v>
      </c>
      <c r="E35" s="20">
        <f t="shared" si="8"/>
        <v>-281114820.51840001</v>
      </c>
      <c r="F35" s="20">
        <f t="shared" si="8"/>
        <v>-300670336.26431996</v>
      </c>
      <c r="G35" s="20">
        <f t="shared" si="8"/>
        <v>-321203627.79753596</v>
      </c>
      <c r="H35" s="20">
        <f t="shared" si="8"/>
        <v>-342763583.90741283</v>
      </c>
      <c r="I35" s="20">
        <f t="shared" si="8"/>
        <v>-365401537.82278353</v>
      </c>
      <c r="J35" s="20">
        <f t="shared" si="8"/>
        <v>-389171389.43392271</v>
      </c>
      <c r="K35" s="20">
        <f t="shared" si="8"/>
        <v>-414129733.62561893</v>
      </c>
      <c r="L35" s="69">
        <f t="shared" si="8"/>
        <v>-440335995.02689987</v>
      </c>
    </row>
    <row r="36" spans="1:12" x14ac:dyDescent="0.3">
      <c r="A36" s="38" t="s">
        <v>66</v>
      </c>
      <c r="B36" s="17"/>
      <c r="C36" s="20">
        <f>SUM(C34:C35)</f>
        <v>992023929.60000002</v>
      </c>
      <c r="D36" s="20">
        <f t="shared" ref="D36:L36" si="9">SUM(D34:D35)</f>
        <v>1195790145.7919998</v>
      </c>
      <c r="E36" s="20">
        <f t="shared" si="9"/>
        <v>1280634182.3616002</v>
      </c>
      <c r="F36" s="20">
        <f t="shared" si="9"/>
        <v>1369720420.7596798</v>
      </c>
      <c r="G36" s="20">
        <f t="shared" si="9"/>
        <v>1463260971.0776639</v>
      </c>
      <c r="H36" s="20">
        <f t="shared" si="9"/>
        <v>1561478548.9115474</v>
      </c>
      <c r="I36" s="20">
        <f t="shared" si="9"/>
        <v>1664607005.637125</v>
      </c>
      <c r="J36" s="20">
        <f t="shared" si="9"/>
        <v>1772891885.1989813</v>
      </c>
      <c r="K36" s="20">
        <f t="shared" si="9"/>
        <v>1886591008.7389307</v>
      </c>
      <c r="L36" s="69">
        <f t="shared" si="9"/>
        <v>2005975088.4558773</v>
      </c>
    </row>
    <row r="37" spans="1:12" x14ac:dyDescent="0.3">
      <c r="A37" s="39" t="s">
        <v>42</v>
      </c>
      <c r="B37" s="21">
        <f>-$C$3</f>
        <v>-6500000000</v>
      </c>
      <c r="C37" s="20">
        <f>C36</f>
        <v>992023929.60000002</v>
      </c>
      <c r="D37" s="20">
        <f t="shared" ref="D37:L37" si="10">D36</f>
        <v>1195790145.7919998</v>
      </c>
      <c r="E37" s="20">
        <f t="shared" si="10"/>
        <v>1280634182.3616002</v>
      </c>
      <c r="F37" s="20">
        <f t="shared" si="10"/>
        <v>1369720420.7596798</v>
      </c>
      <c r="G37" s="20">
        <f t="shared" si="10"/>
        <v>1463260971.0776639</v>
      </c>
      <c r="H37" s="20">
        <f t="shared" si="10"/>
        <v>1561478548.9115474</v>
      </c>
      <c r="I37" s="20">
        <f t="shared" si="10"/>
        <v>1664607005.637125</v>
      </c>
      <c r="J37" s="20">
        <f t="shared" si="10"/>
        <v>1772891885.1989813</v>
      </c>
      <c r="K37" s="20">
        <f t="shared" si="10"/>
        <v>1886591008.7389307</v>
      </c>
      <c r="L37" s="69">
        <f t="shared" si="10"/>
        <v>2005975088.4558773</v>
      </c>
    </row>
    <row r="38" spans="1:12" x14ac:dyDescent="0.3">
      <c r="A38" s="40" t="s">
        <v>82</v>
      </c>
      <c r="B38" s="74">
        <f>B37</f>
        <v>-6500000000</v>
      </c>
      <c r="C38" s="67">
        <f>B38+C37</f>
        <v>-5507976070.3999996</v>
      </c>
      <c r="D38" s="67">
        <f t="shared" ref="D38:L38" si="11">C38+D37</f>
        <v>-4312185924.6079998</v>
      </c>
      <c r="E38" s="67">
        <f t="shared" si="11"/>
        <v>-3031551742.2463999</v>
      </c>
      <c r="F38" s="67">
        <f t="shared" si="11"/>
        <v>-1661831321.4867201</v>
      </c>
      <c r="G38" s="67">
        <f t="shared" si="11"/>
        <v>-198570350.40905619</v>
      </c>
      <c r="H38" s="67">
        <f t="shared" si="11"/>
        <v>1362908198.5024912</v>
      </c>
      <c r="I38" s="72">
        <f t="shared" si="11"/>
        <v>3027515204.139616</v>
      </c>
      <c r="J38" s="67">
        <f t="shared" si="11"/>
        <v>4800407089.3385973</v>
      </c>
      <c r="K38" s="67">
        <f t="shared" si="11"/>
        <v>6686998098.077528</v>
      </c>
      <c r="L38" s="73">
        <f t="shared" si="11"/>
        <v>8692973186.5334053</v>
      </c>
    </row>
    <row r="39" spans="1:12" x14ac:dyDescent="0.3">
      <c r="A39" s="59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2" x14ac:dyDescent="0.3">
      <c r="A40" s="52" t="s">
        <v>83</v>
      </c>
      <c r="B40" s="54">
        <f>-$C$3</f>
        <v>-6500000000</v>
      </c>
      <c r="C40" s="62"/>
      <c r="J40" s="277" t="s">
        <v>94</v>
      </c>
      <c r="K40" s="278"/>
    </row>
    <row r="41" spans="1:12" ht="28.8" x14ac:dyDescent="0.3">
      <c r="A41" s="47" t="s">
        <v>68</v>
      </c>
      <c r="B41" s="22">
        <f>C37</f>
        <v>992023929.60000002</v>
      </c>
      <c r="C41" s="56"/>
      <c r="J41" s="76" t="s">
        <v>95</v>
      </c>
      <c r="K41" s="86">
        <f>-((D30+D31+D33+D35)/12)/C7</f>
        <v>20.841135040000001</v>
      </c>
    </row>
    <row r="42" spans="1:12" ht="28.8" x14ac:dyDescent="0.3">
      <c r="A42" s="47" t="s">
        <v>73</v>
      </c>
      <c r="B42" s="22">
        <f>D$37</f>
        <v>1195790145.7919998</v>
      </c>
      <c r="C42" s="57"/>
      <c r="J42" s="77" t="s">
        <v>96</v>
      </c>
      <c r="K42" s="79">
        <f>K41/C6</f>
        <v>0.47366216</v>
      </c>
    </row>
    <row r="43" spans="1:12" x14ac:dyDescent="0.3">
      <c r="A43" s="47" t="s">
        <v>74</v>
      </c>
      <c r="B43" s="22">
        <f>E$37</f>
        <v>1280634182.3616002</v>
      </c>
      <c r="C43" s="57"/>
      <c r="J43" s="87" t="s">
        <v>107</v>
      </c>
    </row>
    <row r="44" spans="1:12" x14ac:dyDescent="0.3">
      <c r="A44" s="47" t="s">
        <v>75</v>
      </c>
      <c r="B44" s="22">
        <f>F$37</f>
        <v>1369720420.7596798</v>
      </c>
      <c r="C44" s="57"/>
    </row>
    <row r="45" spans="1:12" x14ac:dyDescent="0.3">
      <c r="A45" s="47" t="s">
        <v>76</v>
      </c>
      <c r="B45" s="22">
        <f>G$37</f>
        <v>1463260971.0776639</v>
      </c>
      <c r="C45" s="57"/>
    </row>
    <row r="46" spans="1:12" x14ac:dyDescent="0.3">
      <c r="A46" s="47" t="s">
        <v>77</v>
      </c>
      <c r="B46" s="22">
        <f>H$37</f>
        <v>1561478548.9115474</v>
      </c>
      <c r="C46" s="57"/>
    </row>
    <row r="47" spans="1:12" x14ac:dyDescent="0.3">
      <c r="A47" s="47" t="s">
        <v>78</v>
      </c>
      <c r="B47" s="22">
        <f>I$37</f>
        <v>1664607005.637125</v>
      </c>
      <c r="C47" s="57"/>
    </row>
    <row r="48" spans="1:12" x14ac:dyDescent="0.3">
      <c r="A48" s="47" t="s">
        <v>79</v>
      </c>
      <c r="B48" s="22">
        <f>J$37</f>
        <v>1772891885.1989813</v>
      </c>
      <c r="C48" s="57"/>
    </row>
    <row r="49" spans="1:3" x14ac:dyDescent="0.3">
      <c r="A49" s="47" t="s">
        <v>80</v>
      </c>
      <c r="B49" s="22">
        <f>K$37</f>
        <v>1886591008.7389307</v>
      </c>
      <c r="C49" s="57"/>
    </row>
    <row r="50" spans="1:3" x14ac:dyDescent="0.3">
      <c r="A50" s="48" t="s">
        <v>69</v>
      </c>
      <c r="B50" s="23">
        <f>L$37</f>
        <v>2005975088.4558773</v>
      </c>
      <c r="C50" s="57"/>
    </row>
    <row r="51" spans="1:3" x14ac:dyDescent="0.3">
      <c r="A51" s="15"/>
      <c r="B51" s="15"/>
      <c r="C51" s="57"/>
    </row>
    <row r="52" spans="1:3" x14ac:dyDescent="0.3">
      <c r="A52" s="270" t="s">
        <v>70</v>
      </c>
      <c r="B52" s="271"/>
      <c r="C52" s="57"/>
    </row>
    <row r="53" spans="1:3" x14ac:dyDescent="0.3">
      <c r="A53" s="49" t="s">
        <v>27</v>
      </c>
      <c r="B53" s="24">
        <f>IRR(B40:B50)</f>
        <v>0.16865850866666965</v>
      </c>
      <c r="C53" s="58"/>
    </row>
    <row r="54" spans="1:3" x14ac:dyDescent="0.3">
      <c r="A54" s="50" t="s">
        <v>71</v>
      </c>
      <c r="B54" s="25">
        <f>D36/$C$3</f>
        <v>0.18396771473723075</v>
      </c>
      <c r="C54" s="58"/>
    </row>
    <row r="55" spans="1:3" x14ac:dyDescent="0.3">
      <c r="A55" s="51" t="s">
        <v>72</v>
      </c>
      <c r="B55" s="96" cm="1">
        <f t="array" ref="B55">(COUNTIF(B38:L38,"&lt;0")-1) + (-INDEX(B38:L38, COUNTIF(B38:L38,"&lt;0")) / INDEX(B37:L37, COUNTIF(B38:L38,"&lt;0")+1))</f>
        <v>5.1271681577358033</v>
      </c>
      <c r="C55" s="63"/>
    </row>
    <row r="65" spans="1:16" x14ac:dyDescent="0.3">
      <c r="A65" s="268" t="s">
        <v>97</v>
      </c>
      <c r="B65" s="269"/>
      <c r="H65" s="272" t="s">
        <v>89</v>
      </c>
      <c r="I65" s="273"/>
      <c r="J65" s="272" t="s">
        <v>99</v>
      </c>
      <c r="K65" s="273"/>
      <c r="M65" s="276"/>
      <c r="N65" s="276"/>
      <c r="O65" s="276"/>
      <c r="P65" s="276"/>
    </row>
    <row r="66" spans="1:16" ht="27.6" customHeight="1" x14ac:dyDescent="0.3">
      <c r="A66" s="90" t="s">
        <v>85</v>
      </c>
      <c r="B66" s="91">
        <f>ABS(E27)</f>
        <v>214220159.99999988</v>
      </c>
      <c r="H66" s="80" t="s">
        <v>90</v>
      </c>
      <c r="I66" s="81">
        <v>8.6977327173762609E-2</v>
      </c>
      <c r="J66" s="274" t="s">
        <v>104</v>
      </c>
      <c r="K66" s="275"/>
      <c r="M66" s="75"/>
      <c r="N66" s="83"/>
      <c r="O66" s="279"/>
      <c r="P66" s="279"/>
    </row>
    <row r="67" spans="1:16" ht="28.8" x14ac:dyDescent="0.3">
      <c r="A67" s="92" t="s">
        <v>86</v>
      </c>
      <c r="B67" s="93">
        <f>ABS((E30)+ABS((E31)))</f>
        <v>167520165.12</v>
      </c>
      <c r="H67" s="78" t="s">
        <v>92</v>
      </c>
      <c r="I67" s="81">
        <v>7.19463415673669E-2</v>
      </c>
      <c r="J67" s="274" t="s">
        <v>98</v>
      </c>
      <c r="K67" s="275"/>
    </row>
    <row r="68" spans="1:16" ht="32.4" customHeight="1" x14ac:dyDescent="0.3">
      <c r="A68" s="92" t="s">
        <v>87</v>
      </c>
      <c r="B68" s="93">
        <f>ABS(E33)</f>
        <v>611086080</v>
      </c>
      <c r="H68" s="78" t="s">
        <v>101</v>
      </c>
      <c r="I68" s="81">
        <v>-2.8129042561216067E-2</v>
      </c>
      <c r="J68" s="274" t="s">
        <v>102</v>
      </c>
      <c r="K68" s="275"/>
    </row>
    <row r="69" spans="1:16" ht="31.2" customHeight="1" x14ac:dyDescent="0.3">
      <c r="A69" s="94" t="s">
        <v>88</v>
      </c>
      <c r="B69" s="95">
        <f>ABS(E35)</f>
        <v>281114820.51840001</v>
      </c>
      <c r="H69" s="78" t="s">
        <v>91</v>
      </c>
      <c r="I69" s="81">
        <v>6.7257102082223685E-2</v>
      </c>
      <c r="J69" s="274" t="s">
        <v>103</v>
      </c>
      <c r="K69" s="275"/>
    </row>
    <row r="70" spans="1:16" ht="43.2" customHeight="1" x14ac:dyDescent="0.3">
      <c r="H70" s="78" t="s">
        <v>93</v>
      </c>
      <c r="I70" s="81">
        <v>7.766549609964879E-2</v>
      </c>
      <c r="J70" s="274" t="s">
        <v>100</v>
      </c>
      <c r="K70" s="275"/>
    </row>
    <row r="71" spans="1:16" ht="43.2" customHeight="1" x14ac:dyDescent="0.3">
      <c r="H71" s="78" t="s">
        <v>106</v>
      </c>
      <c r="I71" s="81">
        <v>7.0539218565478734E-2</v>
      </c>
      <c r="J71" s="274" t="s">
        <v>105</v>
      </c>
      <c r="K71" s="275"/>
    </row>
  </sheetData>
  <mergeCells count="14">
    <mergeCell ref="J70:K70"/>
    <mergeCell ref="J71:K71"/>
    <mergeCell ref="O65:P65"/>
    <mergeCell ref="J66:K66"/>
    <mergeCell ref="O66:P66"/>
    <mergeCell ref="J67:K67"/>
    <mergeCell ref="J68:K68"/>
    <mergeCell ref="J69:K69"/>
    <mergeCell ref="M65:N65"/>
    <mergeCell ref="J40:K40"/>
    <mergeCell ref="A52:B52"/>
    <mergeCell ref="A65:B65"/>
    <mergeCell ref="H65:I65"/>
    <mergeCell ref="J65:K65"/>
  </mergeCells>
  <conditionalFormatting sqref="I66:I7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{A773F342-7F86-4C94-9A3E-DE08AA561EA0}</x14:id>
        </ext>
      </extLst>
    </cfRule>
  </conditionalFormatting>
  <conditionalFormatting sqref="N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{36648152-C425-43F1-B00C-791487B62C93}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73F342-7F86-4C94-9A3E-DE08AA561E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I66:I71</xm:sqref>
        </x14:conditionalFormatting>
        <x14:conditionalFormatting xmlns:xm="http://schemas.microsoft.com/office/excel/2006/main">
          <x14:cfRule type="dataBar" id="{36648152-C425-43F1-B00C-791487B62C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A308-D265-4F2C-B37D-2AD21E9B7E41}">
  <dimension ref="A1"/>
  <sheetViews>
    <sheetView workbookViewId="0">
      <selection activeCell="C6" sqref="C6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D840-A0BC-412F-BA20-0F90FB21403D}">
  <sheetPr>
    <pageSetUpPr autoPageBreaks="0"/>
  </sheetPr>
  <dimension ref="A1:P71"/>
  <sheetViews>
    <sheetView topLeftCell="E55" zoomScale="94" zoomScaleNormal="70" workbookViewId="0">
      <selection activeCell="C6" sqref="C6"/>
    </sheetView>
  </sheetViews>
  <sheetFormatPr defaultColWidth="8.88671875" defaultRowHeight="14.4" x14ac:dyDescent="0.3"/>
  <cols>
    <col min="1" max="1" width="27.109375" style="55" customWidth="1"/>
    <col min="2" max="2" width="17.21875" style="55" bestFit="1" customWidth="1"/>
    <col min="3" max="7" width="17.88671875" style="55" bestFit="1" customWidth="1"/>
    <col min="8" max="8" width="21.5546875" style="55" customWidth="1"/>
    <col min="9" max="12" width="17.21875" style="55" bestFit="1" customWidth="1"/>
    <col min="13" max="13" width="12.88671875" style="55" bestFit="1" customWidth="1"/>
    <col min="14" max="14" width="6.109375" style="55" bestFit="1" customWidth="1"/>
    <col min="15" max="16384" width="8.88671875" style="55"/>
  </cols>
  <sheetData>
    <row r="1" spans="1:4" x14ac:dyDescent="0.3">
      <c r="A1" s="88" t="s">
        <v>45</v>
      </c>
      <c r="B1" s="41"/>
      <c r="C1" s="89" t="s">
        <v>84</v>
      </c>
    </row>
    <row r="2" spans="1:4" x14ac:dyDescent="0.3">
      <c r="A2" s="42" t="s">
        <v>46</v>
      </c>
      <c r="B2" s="16"/>
      <c r="C2" s="27"/>
    </row>
    <row r="3" spans="1:4" x14ac:dyDescent="0.3">
      <c r="A3" s="43" t="s">
        <v>47</v>
      </c>
      <c r="B3" s="16"/>
      <c r="C3" s="28">
        <v>7000000000</v>
      </c>
    </row>
    <row r="4" spans="1:4" x14ac:dyDescent="0.3">
      <c r="A4" s="37"/>
      <c r="B4" s="16"/>
      <c r="C4" s="27"/>
    </row>
    <row r="5" spans="1:4" x14ac:dyDescent="0.3">
      <c r="A5" s="44" t="s">
        <v>48</v>
      </c>
      <c r="B5" s="16"/>
      <c r="C5" s="27"/>
    </row>
    <row r="6" spans="1:4" x14ac:dyDescent="0.3">
      <c r="A6" s="43" t="s">
        <v>49</v>
      </c>
      <c r="B6" s="16"/>
      <c r="C6" s="29">
        <v>38</v>
      </c>
    </row>
    <row r="7" spans="1:4" x14ac:dyDescent="0.3">
      <c r="A7" s="43" t="s">
        <v>50</v>
      </c>
      <c r="B7" s="16"/>
      <c r="C7" s="28">
        <v>4600000</v>
      </c>
      <c r="D7" s="82"/>
    </row>
    <row r="8" spans="1:4" x14ac:dyDescent="0.3">
      <c r="A8" s="37"/>
      <c r="B8" s="16"/>
      <c r="C8" s="27"/>
    </row>
    <row r="9" spans="1:4" x14ac:dyDescent="0.3">
      <c r="A9" s="45" t="s">
        <v>51</v>
      </c>
      <c r="B9" s="16"/>
      <c r="C9" s="27"/>
    </row>
    <row r="10" spans="1:4" x14ac:dyDescent="0.3">
      <c r="A10" s="43" t="s">
        <v>52</v>
      </c>
      <c r="B10" s="16"/>
      <c r="C10" s="30">
        <v>0.03</v>
      </c>
    </row>
    <row r="11" spans="1:4" x14ac:dyDescent="0.3">
      <c r="A11" s="43" t="s">
        <v>53</v>
      </c>
      <c r="B11" s="16"/>
      <c r="C11" s="30">
        <v>2.5000000000000001E-2</v>
      </c>
    </row>
    <row r="12" spans="1:4" x14ac:dyDescent="0.3">
      <c r="A12" s="37"/>
      <c r="B12" s="16"/>
      <c r="C12" s="27"/>
    </row>
    <row r="13" spans="1:4" x14ac:dyDescent="0.3">
      <c r="A13" s="45" t="s">
        <v>54</v>
      </c>
      <c r="B13" s="16"/>
      <c r="C13" s="27"/>
    </row>
    <row r="14" spans="1:4" x14ac:dyDescent="0.3">
      <c r="A14" s="43" t="s">
        <v>55</v>
      </c>
      <c r="B14" s="16"/>
      <c r="C14" s="30">
        <v>0.85</v>
      </c>
    </row>
    <row r="15" spans="1:4" x14ac:dyDescent="0.3">
      <c r="A15" s="43" t="s">
        <v>56</v>
      </c>
      <c r="B15" s="16"/>
      <c r="C15" s="30">
        <v>0.87</v>
      </c>
    </row>
    <row r="16" spans="1:4" x14ac:dyDescent="0.3">
      <c r="A16" s="37"/>
      <c r="B16" s="16"/>
      <c r="C16" s="27"/>
    </row>
    <row r="17" spans="1:12" x14ac:dyDescent="0.3">
      <c r="A17" s="45" t="s">
        <v>57</v>
      </c>
      <c r="B17" s="16"/>
      <c r="C17" s="27"/>
    </row>
    <row r="18" spans="1:12" x14ac:dyDescent="0.3">
      <c r="A18" s="43" t="s">
        <v>5</v>
      </c>
      <c r="B18" s="16"/>
      <c r="C18" s="30">
        <v>2.5000000000000001E-2</v>
      </c>
    </row>
    <row r="19" spans="1:12" x14ac:dyDescent="0.3">
      <c r="A19" s="37" t="s">
        <v>6</v>
      </c>
      <c r="B19" s="16"/>
      <c r="C19" s="30">
        <v>9.2999999999999999E-2</v>
      </c>
    </row>
    <row r="20" spans="1:12" x14ac:dyDescent="0.3">
      <c r="A20" s="43" t="s">
        <v>58</v>
      </c>
      <c r="B20" s="16"/>
      <c r="C20" s="30">
        <v>0.29599999999999999</v>
      </c>
    </row>
    <row r="21" spans="1:12" x14ac:dyDescent="0.3">
      <c r="A21" s="46" t="s">
        <v>59</v>
      </c>
      <c r="B21" s="31"/>
      <c r="C21" s="32">
        <v>0.18</v>
      </c>
    </row>
    <row r="22" spans="1:12" x14ac:dyDescent="0.3">
      <c r="A22" s="56"/>
      <c r="B22" s="57"/>
      <c r="C22" s="58"/>
    </row>
    <row r="24" spans="1:12" x14ac:dyDescent="0.3">
      <c r="A24" s="53" t="s">
        <v>81</v>
      </c>
      <c r="B24" s="33" t="s">
        <v>67</v>
      </c>
      <c r="C24" s="34" t="s">
        <v>68</v>
      </c>
      <c r="D24" s="33" t="s">
        <v>73</v>
      </c>
      <c r="E24" s="34" t="s">
        <v>74</v>
      </c>
      <c r="F24" s="33" t="s">
        <v>75</v>
      </c>
      <c r="G24" s="34" t="s">
        <v>76</v>
      </c>
      <c r="H24" s="33" t="s">
        <v>77</v>
      </c>
      <c r="I24" s="34" t="s">
        <v>78</v>
      </c>
      <c r="J24" s="33" t="s">
        <v>79</v>
      </c>
      <c r="K24" s="34" t="s">
        <v>80</v>
      </c>
      <c r="L24" s="35" t="s">
        <v>69</v>
      </c>
    </row>
    <row r="25" spans="1:12" x14ac:dyDescent="0.3">
      <c r="A25" s="36" t="s">
        <v>60</v>
      </c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9"/>
    </row>
    <row r="26" spans="1:12" x14ac:dyDescent="0.3">
      <c r="A26" s="37" t="s">
        <v>61</v>
      </c>
      <c r="B26" s="17"/>
      <c r="C26" s="20">
        <f>$C$6*$C$7*12</f>
        <v>2097600000</v>
      </c>
      <c r="D26" s="66">
        <f>C26*(1+$C$10)</f>
        <v>2160528000</v>
      </c>
      <c r="E26" s="66">
        <f t="shared" ref="E26:L26" si="0">D26*(1+$C$10)</f>
        <v>2225343840</v>
      </c>
      <c r="F26" s="66">
        <f t="shared" si="0"/>
        <v>2292104155.2000003</v>
      </c>
      <c r="G26" s="66">
        <f t="shared" si="0"/>
        <v>2360867279.8560004</v>
      </c>
      <c r="H26" s="66">
        <f t="shared" si="0"/>
        <v>2431693298.2516804</v>
      </c>
      <c r="I26" s="66">
        <f t="shared" si="0"/>
        <v>2504644097.1992307</v>
      </c>
      <c r="J26" s="66">
        <f t="shared" si="0"/>
        <v>2579783420.1152077</v>
      </c>
      <c r="K26" s="66">
        <f t="shared" si="0"/>
        <v>2657176922.7186642</v>
      </c>
      <c r="L26" s="68">
        <f t="shared" si="0"/>
        <v>2736892230.4002242</v>
      </c>
    </row>
    <row r="27" spans="1:12" x14ac:dyDescent="0.3">
      <c r="A27" s="37" t="s">
        <v>62</v>
      </c>
      <c r="B27" s="17"/>
      <c r="C27" s="20">
        <f>C26*(1-$C$14)</f>
        <v>314640000.00000006</v>
      </c>
      <c r="D27" s="20">
        <f>D26*(1-$C$15)</f>
        <v>280868640</v>
      </c>
      <c r="E27" s="20">
        <f t="shared" ref="E27:L27" si="1">E26*(1-$C$15)</f>
        <v>289294699.19999999</v>
      </c>
      <c r="F27" s="20">
        <f t="shared" si="1"/>
        <v>297973540.17600006</v>
      </c>
      <c r="G27" s="20">
        <f t="shared" si="1"/>
        <v>306912746.38128006</v>
      </c>
      <c r="H27" s="20">
        <f t="shared" si="1"/>
        <v>316120128.77271849</v>
      </c>
      <c r="I27" s="20">
        <f t="shared" si="1"/>
        <v>325603732.63590002</v>
      </c>
      <c r="J27" s="20">
        <f t="shared" si="1"/>
        <v>335371844.614977</v>
      </c>
      <c r="K27" s="20">
        <f t="shared" si="1"/>
        <v>345432999.95342636</v>
      </c>
      <c r="L27" s="69">
        <f t="shared" si="1"/>
        <v>355795989.95202917</v>
      </c>
    </row>
    <row r="28" spans="1:12" x14ac:dyDescent="0.3">
      <c r="A28" s="38" t="s">
        <v>4</v>
      </c>
      <c r="B28" s="17"/>
      <c r="C28" s="20">
        <f>C26-C27</f>
        <v>1782960000</v>
      </c>
      <c r="D28" s="20">
        <f t="shared" ref="D28:L28" si="2">D26-D27</f>
        <v>1879659360</v>
      </c>
      <c r="E28" s="20">
        <f t="shared" si="2"/>
        <v>1936049140.8</v>
      </c>
      <c r="F28" s="20">
        <f t="shared" si="2"/>
        <v>1994130615.0240002</v>
      </c>
      <c r="G28" s="20">
        <f t="shared" si="2"/>
        <v>2053954533.4747205</v>
      </c>
      <c r="H28" s="20">
        <f t="shared" si="2"/>
        <v>2115573169.4789619</v>
      </c>
      <c r="I28" s="20">
        <f t="shared" si="2"/>
        <v>2179040364.5633307</v>
      </c>
      <c r="J28" s="20">
        <f t="shared" si="2"/>
        <v>2244411575.5002308</v>
      </c>
      <c r="K28" s="20">
        <f t="shared" si="2"/>
        <v>2311743922.7652378</v>
      </c>
      <c r="L28" s="69">
        <f t="shared" si="2"/>
        <v>2381096240.448195</v>
      </c>
    </row>
    <row r="29" spans="1:12" x14ac:dyDescent="0.3">
      <c r="A29" s="38" t="s">
        <v>63</v>
      </c>
      <c r="B29" s="17"/>
      <c r="C29" s="65"/>
      <c r="D29" s="65"/>
      <c r="E29" s="20"/>
      <c r="F29" s="20"/>
      <c r="G29" s="20"/>
      <c r="H29" s="20"/>
      <c r="I29" s="20"/>
      <c r="J29" s="20"/>
      <c r="K29" s="20"/>
      <c r="L29" s="69"/>
    </row>
    <row r="30" spans="1:12" x14ac:dyDescent="0.3">
      <c r="A30" s="37" t="s">
        <v>5</v>
      </c>
      <c r="B30" s="17"/>
      <c r="C30" s="20">
        <f>-C28*$C$18</f>
        <v>-44574000</v>
      </c>
      <c r="D30" s="20">
        <f t="shared" ref="D30:L30" si="3">-D28*$C$18</f>
        <v>-46991484</v>
      </c>
      <c r="E30" s="20">
        <f t="shared" si="3"/>
        <v>-48401228.520000003</v>
      </c>
      <c r="F30" s="20">
        <f t="shared" si="3"/>
        <v>-49853265.37560001</v>
      </c>
      <c r="G30" s="20">
        <f t="shared" si="3"/>
        <v>-51348863.336868018</v>
      </c>
      <c r="H30" s="20">
        <f t="shared" si="3"/>
        <v>-52889329.236974053</v>
      </c>
      <c r="I30" s="20">
        <f t="shared" si="3"/>
        <v>-54476009.114083268</v>
      </c>
      <c r="J30" s="20">
        <f t="shared" si="3"/>
        <v>-56110289.38750577</v>
      </c>
      <c r="K30" s="20">
        <f t="shared" si="3"/>
        <v>-57793598.06913095</v>
      </c>
      <c r="L30" s="69">
        <f t="shared" si="3"/>
        <v>-59527406.011204876</v>
      </c>
    </row>
    <row r="31" spans="1:12" x14ac:dyDescent="0.3">
      <c r="A31" s="37" t="s">
        <v>6</v>
      </c>
      <c r="B31" s="17"/>
      <c r="C31" s="66">
        <f>-C28*$C$19</f>
        <v>-165815280</v>
      </c>
      <c r="D31" s="66">
        <f t="shared" ref="D31:L31" si="4">-D28*$C$19</f>
        <v>-174808320.47999999</v>
      </c>
      <c r="E31" s="66">
        <f t="shared" si="4"/>
        <v>-180052570.09439999</v>
      </c>
      <c r="F31" s="66">
        <f t="shared" si="4"/>
        <v>-185454147.19723201</v>
      </c>
      <c r="G31" s="66">
        <f t="shared" si="4"/>
        <v>-191017771.61314902</v>
      </c>
      <c r="H31" s="66">
        <f t="shared" si="4"/>
        <v>-196748304.76154345</v>
      </c>
      <c r="I31" s="66">
        <f t="shared" si="4"/>
        <v>-202650753.90438974</v>
      </c>
      <c r="J31" s="66">
        <f t="shared" si="4"/>
        <v>-208730276.52152145</v>
      </c>
      <c r="K31" s="66">
        <f t="shared" si="4"/>
        <v>-214992184.8171671</v>
      </c>
      <c r="L31" s="68">
        <f t="shared" si="4"/>
        <v>-221441950.36168212</v>
      </c>
    </row>
    <row r="32" spans="1:12" x14ac:dyDescent="0.3">
      <c r="A32" s="38" t="s">
        <v>7</v>
      </c>
      <c r="B32" s="17"/>
      <c r="C32" s="66">
        <f>SUM(C28:C31)</f>
        <v>1572570720</v>
      </c>
      <c r="D32" s="66">
        <f t="shared" ref="D32:L32" si="5">SUM(D28:D31)</f>
        <v>1657859555.52</v>
      </c>
      <c r="E32" s="66">
        <f t="shared" si="5"/>
        <v>1707595342.1856</v>
      </c>
      <c r="F32" s="66">
        <f t="shared" si="5"/>
        <v>1758823202.4511681</v>
      </c>
      <c r="G32" s="66">
        <f t="shared" si="5"/>
        <v>1811587898.5247035</v>
      </c>
      <c r="H32" s="66">
        <f t="shared" si="5"/>
        <v>1865935535.4804444</v>
      </c>
      <c r="I32" s="66">
        <f t="shared" si="5"/>
        <v>1921913601.5448575</v>
      </c>
      <c r="J32" s="66">
        <f t="shared" si="5"/>
        <v>1979571009.5912037</v>
      </c>
      <c r="K32" s="66">
        <f t="shared" si="5"/>
        <v>2038958139.8789399</v>
      </c>
      <c r="L32" s="68">
        <f t="shared" si="5"/>
        <v>2100126884.0753081</v>
      </c>
    </row>
    <row r="33" spans="1:12" x14ac:dyDescent="0.3">
      <c r="A33" s="37" t="s">
        <v>64</v>
      </c>
      <c r="B33" s="17"/>
      <c r="C33" s="20">
        <f>-C28*$C$20</f>
        <v>-527756160</v>
      </c>
      <c r="D33" s="20">
        <f>C33*(1+$C$11)</f>
        <v>-540950064</v>
      </c>
      <c r="E33" s="20">
        <f t="shared" ref="E33:L33" si="6">D33*(1+$C$11)</f>
        <v>-554473815.5999999</v>
      </c>
      <c r="F33" s="20">
        <f t="shared" si="6"/>
        <v>-568335660.98999989</v>
      </c>
      <c r="G33" s="20">
        <f t="shared" si="6"/>
        <v>-582544052.51474988</v>
      </c>
      <c r="H33" s="20">
        <f t="shared" si="6"/>
        <v>-597107653.8276186</v>
      </c>
      <c r="I33" s="20">
        <f t="shared" si="6"/>
        <v>-612035345.17330897</v>
      </c>
      <c r="J33" s="20">
        <f t="shared" si="6"/>
        <v>-627336228.80264163</v>
      </c>
      <c r="K33" s="20">
        <f t="shared" si="6"/>
        <v>-643019634.52270758</v>
      </c>
      <c r="L33" s="20">
        <f t="shared" si="6"/>
        <v>-659095125.38577521</v>
      </c>
    </row>
    <row r="34" spans="1:12" s="64" customFormat="1" ht="14.4" customHeight="1" x14ac:dyDescent="0.3">
      <c r="A34" s="38" t="s">
        <v>65</v>
      </c>
      <c r="B34" s="18"/>
      <c r="C34" s="65">
        <f>SUM(C32:C33)</f>
        <v>1044814560</v>
      </c>
      <c r="D34" s="70">
        <f>SUM(D32:D33)</f>
        <v>1116909491.52</v>
      </c>
      <c r="E34" s="70">
        <f t="shared" ref="E34:L34" si="7">SUM(E32:E33)</f>
        <v>1153121526.5856001</v>
      </c>
      <c r="F34" s="70">
        <f t="shared" si="7"/>
        <v>1190487541.4611683</v>
      </c>
      <c r="G34" s="70">
        <f t="shared" si="7"/>
        <v>1229043846.0099535</v>
      </c>
      <c r="H34" s="70">
        <f t="shared" si="7"/>
        <v>1268827881.6528258</v>
      </c>
      <c r="I34" s="70">
        <f t="shared" si="7"/>
        <v>1309878256.3715487</v>
      </c>
      <c r="J34" s="70">
        <f t="shared" si="7"/>
        <v>1352234780.7885621</v>
      </c>
      <c r="K34" s="70">
        <f t="shared" si="7"/>
        <v>1395938505.3562322</v>
      </c>
      <c r="L34" s="71">
        <f t="shared" si="7"/>
        <v>1441031758.6895328</v>
      </c>
    </row>
    <row r="35" spans="1:12" x14ac:dyDescent="0.3">
      <c r="A35" s="37" t="s">
        <v>10</v>
      </c>
      <c r="B35" s="17"/>
      <c r="C35" s="20">
        <f>-C34*$C$21</f>
        <v>-188066620.79999998</v>
      </c>
      <c r="D35" s="20">
        <f t="shared" ref="D35:L35" si="8">-D34*$C$21</f>
        <v>-201043708.4736</v>
      </c>
      <c r="E35" s="20">
        <f t="shared" si="8"/>
        <v>-207561874.78540802</v>
      </c>
      <c r="F35" s="20">
        <f t="shared" si="8"/>
        <v>-214287757.46301028</v>
      </c>
      <c r="G35" s="20">
        <f t="shared" si="8"/>
        <v>-221227892.28179163</v>
      </c>
      <c r="H35" s="20">
        <f t="shared" si="8"/>
        <v>-228389018.69750863</v>
      </c>
      <c r="I35" s="20">
        <f t="shared" si="8"/>
        <v>-235778086.14687875</v>
      </c>
      <c r="J35" s="20">
        <f t="shared" si="8"/>
        <v>-243402260.54194117</v>
      </c>
      <c r="K35" s="20">
        <f t="shared" si="8"/>
        <v>-251268930.96412179</v>
      </c>
      <c r="L35" s="69">
        <f t="shared" si="8"/>
        <v>-259385716.56411588</v>
      </c>
    </row>
    <row r="36" spans="1:12" x14ac:dyDescent="0.3">
      <c r="A36" s="38" t="s">
        <v>66</v>
      </c>
      <c r="B36" s="17"/>
      <c r="C36" s="20">
        <f>SUM(C34:C35)</f>
        <v>856747939.20000005</v>
      </c>
      <c r="D36" s="20">
        <f t="shared" ref="D36:L36" si="9">SUM(D34:D35)</f>
        <v>915865783.04639995</v>
      </c>
      <c r="E36" s="20">
        <f t="shared" si="9"/>
        <v>945559651.80019212</v>
      </c>
      <c r="F36" s="20">
        <f t="shared" si="9"/>
        <v>976199783.99815798</v>
      </c>
      <c r="G36" s="20">
        <f t="shared" si="9"/>
        <v>1007815953.7281618</v>
      </c>
      <c r="H36" s="20">
        <f t="shared" si="9"/>
        <v>1040438862.9553173</v>
      </c>
      <c r="I36" s="20">
        <f t="shared" si="9"/>
        <v>1074100170.2246699</v>
      </c>
      <c r="J36" s="20">
        <f t="shared" si="9"/>
        <v>1108832520.2466209</v>
      </c>
      <c r="K36" s="20">
        <f t="shared" si="9"/>
        <v>1144669574.3921103</v>
      </c>
      <c r="L36" s="69">
        <f t="shared" si="9"/>
        <v>1181646042.1254168</v>
      </c>
    </row>
    <row r="37" spans="1:12" x14ac:dyDescent="0.3">
      <c r="A37" s="39" t="s">
        <v>42</v>
      </c>
      <c r="B37" s="21">
        <f>-$C$3</f>
        <v>-7000000000</v>
      </c>
      <c r="C37" s="20">
        <f>C36</f>
        <v>856747939.20000005</v>
      </c>
      <c r="D37" s="20">
        <f t="shared" ref="D37:L37" si="10">D36</f>
        <v>915865783.04639995</v>
      </c>
      <c r="E37" s="20">
        <f t="shared" si="10"/>
        <v>945559651.80019212</v>
      </c>
      <c r="F37" s="20">
        <f t="shared" si="10"/>
        <v>976199783.99815798</v>
      </c>
      <c r="G37" s="20">
        <f t="shared" si="10"/>
        <v>1007815953.7281618</v>
      </c>
      <c r="H37" s="20">
        <f t="shared" si="10"/>
        <v>1040438862.9553173</v>
      </c>
      <c r="I37" s="20">
        <f t="shared" si="10"/>
        <v>1074100170.2246699</v>
      </c>
      <c r="J37" s="20">
        <f t="shared" si="10"/>
        <v>1108832520.2466209</v>
      </c>
      <c r="K37" s="20">
        <f t="shared" si="10"/>
        <v>1144669574.3921103</v>
      </c>
      <c r="L37" s="69">
        <f t="shared" si="10"/>
        <v>1181646042.1254168</v>
      </c>
    </row>
    <row r="38" spans="1:12" x14ac:dyDescent="0.3">
      <c r="A38" s="40" t="s">
        <v>82</v>
      </c>
      <c r="B38" s="74">
        <f>B37</f>
        <v>-7000000000</v>
      </c>
      <c r="C38" s="67">
        <f>B38+C37</f>
        <v>-6143252060.8000002</v>
      </c>
      <c r="D38" s="67">
        <f t="shared" ref="D38:L38" si="11">C38+D37</f>
        <v>-5227386277.7536001</v>
      </c>
      <c r="E38" s="67">
        <f t="shared" si="11"/>
        <v>-4281826625.9534082</v>
      </c>
      <c r="F38" s="67">
        <f t="shared" si="11"/>
        <v>-3305626841.9552503</v>
      </c>
      <c r="G38" s="67">
        <f t="shared" si="11"/>
        <v>-2297810888.2270885</v>
      </c>
      <c r="H38" s="67">
        <f t="shared" si="11"/>
        <v>-1257372025.2717712</v>
      </c>
      <c r="I38" s="72">
        <f t="shared" si="11"/>
        <v>-183271855.04710126</v>
      </c>
      <c r="J38" s="67">
        <f t="shared" si="11"/>
        <v>925560665.19951963</v>
      </c>
      <c r="K38" s="67">
        <f t="shared" si="11"/>
        <v>2070230239.59163</v>
      </c>
      <c r="L38" s="73">
        <f t="shared" si="11"/>
        <v>3251876281.7170467</v>
      </c>
    </row>
    <row r="39" spans="1:12" x14ac:dyDescent="0.3">
      <c r="A39" s="59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2" x14ac:dyDescent="0.3">
      <c r="A40" s="52" t="s">
        <v>83</v>
      </c>
      <c r="B40" s="54">
        <f>-$C$3</f>
        <v>-7000000000</v>
      </c>
      <c r="C40" s="62"/>
      <c r="J40" s="277" t="s">
        <v>94</v>
      </c>
      <c r="K40" s="278"/>
    </row>
    <row r="41" spans="1:12" ht="28.8" x14ac:dyDescent="0.3">
      <c r="A41" s="47" t="s">
        <v>68</v>
      </c>
      <c r="B41" s="22">
        <f>C37</f>
        <v>856747939.20000005</v>
      </c>
      <c r="C41" s="56"/>
      <c r="J41" s="76" t="s">
        <v>95</v>
      </c>
      <c r="K41" s="86">
        <f>-((D30+D31+D33+D35)/12)/C7</f>
        <v>17.460028567999998</v>
      </c>
    </row>
    <row r="42" spans="1:12" ht="28.8" x14ac:dyDescent="0.3">
      <c r="A42" s="47" t="s">
        <v>73</v>
      </c>
      <c r="B42" s="22">
        <f>D$37</f>
        <v>915865783.04639995</v>
      </c>
      <c r="C42" s="57"/>
      <c r="J42" s="77" t="s">
        <v>96</v>
      </c>
      <c r="K42" s="79">
        <f>K41/C6</f>
        <v>0.45947443599999999</v>
      </c>
    </row>
    <row r="43" spans="1:12" x14ac:dyDescent="0.3">
      <c r="A43" s="47" t="s">
        <v>74</v>
      </c>
      <c r="B43" s="22">
        <f>E$37</f>
        <v>945559651.80019212</v>
      </c>
      <c r="C43" s="57"/>
      <c r="J43" s="87" t="s">
        <v>107</v>
      </c>
    </row>
    <row r="44" spans="1:12" x14ac:dyDescent="0.3">
      <c r="A44" s="47" t="s">
        <v>75</v>
      </c>
      <c r="B44" s="22">
        <f>F$37</f>
        <v>976199783.99815798</v>
      </c>
      <c r="C44" s="57"/>
    </row>
    <row r="45" spans="1:12" x14ac:dyDescent="0.3">
      <c r="A45" s="47" t="s">
        <v>76</v>
      </c>
      <c r="B45" s="22">
        <f>G$37</f>
        <v>1007815953.7281618</v>
      </c>
      <c r="C45" s="57"/>
    </row>
    <row r="46" spans="1:12" x14ac:dyDescent="0.3">
      <c r="A46" s="47" t="s">
        <v>77</v>
      </c>
      <c r="B46" s="22">
        <f>H$37</f>
        <v>1040438862.9553173</v>
      </c>
      <c r="C46" s="57"/>
    </row>
    <row r="47" spans="1:12" x14ac:dyDescent="0.3">
      <c r="A47" s="47" t="s">
        <v>78</v>
      </c>
      <c r="B47" s="22">
        <f>I$37</f>
        <v>1074100170.2246699</v>
      </c>
      <c r="C47" s="57"/>
    </row>
    <row r="48" spans="1:12" x14ac:dyDescent="0.3">
      <c r="A48" s="47" t="s">
        <v>79</v>
      </c>
      <c r="B48" s="22">
        <f>J$37</f>
        <v>1108832520.2466209</v>
      </c>
      <c r="C48" s="57"/>
    </row>
    <row r="49" spans="1:3" x14ac:dyDescent="0.3">
      <c r="A49" s="47" t="s">
        <v>80</v>
      </c>
      <c r="B49" s="22">
        <f>K$37</f>
        <v>1144669574.3921103</v>
      </c>
      <c r="C49" s="57"/>
    </row>
    <row r="50" spans="1:3" x14ac:dyDescent="0.3">
      <c r="A50" s="48" t="s">
        <v>69</v>
      </c>
      <c r="B50" s="23">
        <f>L$37</f>
        <v>1181646042.1254168</v>
      </c>
      <c r="C50" s="57"/>
    </row>
    <row r="51" spans="1:3" x14ac:dyDescent="0.3">
      <c r="A51" s="15"/>
      <c r="B51" s="15"/>
      <c r="C51" s="57"/>
    </row>
    <row r="52" spans="1:3" x14ac:dyDescent="0.3">
      <c r="A52" s="270" t="s">
        <v>70</v>
      </c>
      <c r="B52" s="271"/>
      <c r="C52" s="57"/>
    </row>
    <row r="53" spans="1:3" x14ac:dyDescent="0.3">
      <c r="A53" s="49" t="s">
        <v>27</v>
      </c>
      <c r="B53" s="24">
        <f>IRR(B40:B50)</f>
        <v>7.19463415673669E-2</v>
      </c>
      <c r="C53" s="58"/>
    </row>
    <row r="54" spans="1:3" x14ac:dyDescent="0.3">
      <c r="A54" s="50" t="s">
        <v>71</v>
      </c>
      <c r="B54" s="25">
        <f>D36/$C$3</f>
        <v>0.13083796900662856</v>
      </c>
      <c r="C54" s="58"/>
    </row>
    <row r="55" spans="1:3" x14ac:dyDescent="0.3">
      <c r="A55" s="51" t="s">
        <v>72</v>
      </c>
      <c r="B55" s="26" cm="1">
        <f t="array" ref="B55">(COUNTIF(B38:L38,"&lt;0")-1) + (-INDEX(B38:L38, COUNTIF(B38:L38,"&lt;0")) / INDEX(B37:L37, COUNTIF(B38:L38,"&lt;0")+1))</f>
        <v>7.165283621918249</v>
      </c>
      <c r="C55" s="63"/>
    </row>
    <row r="65" spans="1:16" x14ac:dyDescent="0.3">
      <c r="A65" s="268" t="s">
        <v>97</v>
      </c>
      <c r="B65" s="269"/>
      <c r="H65" s="272" t="s">
        <v>89</v>
      </c>
      <c r="I65" s="273"/>
      <c r="J65" s="272" t="s">
        <v>99</v>
      </c>
      <c r="K65" s="273"/>
      <c r="M65" s="276"/>
      <c r="N65" s="276"/>
      <c r="O65" s="276"/>
      <c r="P65" s="276"/>
    </row>
    <row r="66" spans="1:16" ht="27.6" customHeight="1" x14ac:dyDescent="0.3">
      <c r="A66" s="90" t="s">
        <v>85</v>
      </c>
      <c r="B66" s="91">
        <f>ABS(E27)</f>
        <v>289294699.19999999</v>
      </c>
      <c r="H66" s="80" t="s">
        <v>90</v>
      </c>
      <c r="I66" s="81">
        <v>8.6977327173762609E-2</v>
      </c>
      <c r="J66" s="274" t="s">
        <v>104</v>
      </c>
      <c r="K66" s="275"/>
      <c r="M66" s="75"/>
      <c r="N66" s="83"/>
      <c r="O66" s="279"/>
      <c r="P66" s="279"/>
    </row>
    <row r="67" spans="1:16" ht="28.8" x14ac:dyDescent="0.3">
      <c r="A67" s="92" t="s">
        <v>86</v>
      </c>
      <c r="B67" s="93">
        <f>ABS((E30)+ABS((E31)))</f>
        <v>131651341.57439998</v>
      </c>
      <c r="H67" s="78" t="s">
        <v>92</v>
      </c>
      <c r="I67" s="81">
        <v>7.19463415673669E-2</v>
      </c>
      <c r="J67" s="274" t="s">
        <v>98</v>
      </c>
      <c r="K67" s="275"/>
    </row>
    <row r="68" spans="1:16" ht="32.4" customHeight="1" x14ac:dyDescent="0.3">
      <c r="A68" s="92" t="s">
        <v>87</v>
      </c>
      <c r="B68" s="93">
        <f>ABS(E33)</f>
        <v>554473815.5999999</v>
      </c>
      <c r="H68" s="78" t="s">
        <v>101</v>
      </c>
      <c r="I68" s="81">
        <v>-2.8129042561216067E-2</v>
      </c>
      <c r="J68" s="274" t="s">
        <v>102</v>
      </c>
      <c r="K68" s="275"/>
    </row>
    <row r="69" spans="1:16" ht="31.2" customHeight="1" x14ac:dyDescent="0.3">
      <c r="A69" s="94" t="s">
        <v>88</v>
      </c>
      <c r="B69" s="95">
        <f>ABS(E35)</f>
        <v>207561874.78540802</v>
      </c>
      <c r="H69" s="78" t="s">
        <v>91</v>
      </c>
      <c r="I69" s="81">
        <v>6.7257102082223685E-2</v>
      </c>
      <c r="J69" s="274" t="s">
        <v>103</v>
      </c>
      <c r="K69" s="275"/>
    </row>
    <row r="70" spans="1:16" ht="43.2" customHeight="1" x14ac:dyDescent="0.3">
      <c r="H70" s="78" t="s">
        <v>93</v>
      </c>
      <c r="I70" s="81">
        <v>7.766549609964879E-2</v>
      </c>
      <c r="J70" s="274" t="s">
        <v>100</v>
      </c>
      <c r="K70" s="275"/>
    </row>
    <row r="71" spans="1:16" ht="43.2" customHeight="1" x14ac:dyDescent="0.3">
      <c r="H71" s="78" t="s">
        <v>106</v>
      </c>
      <c r="I71" s="81">
        <v>7.0539218565478734E-2</v>
      </c>
      <c r="J71" s="274" t="s">
        <v>105</v>
      </c>
      <c r="K71" s="275"/>
    </row>
  </sheetData>
  <mergeCells count="14">
    <mergeCell ref="J70:K70"/>
    <mergeCell ref="J71:K71"/>
    <mergeCell ref="O65:P65"/>
    <mergeCell ref="J66:K66"/>
    <mergeCell ref="O66:P66"/>
    <mergeCell ref="J67:K67"/>
    <mergeCell ref="J68:K68"/>
    <mergeCell ref="J69:K69"/>
    <mergeCell ref="M65:N65"/>
    <mergeCell ref="J40:K40"/>
    <mergeCell ref="A52:B52"/>
    <mergeCell ref="A65:B65"/>
    <mergeCell ref="H65:I65"/>
    <mergeCell ref="J65:K65"/>
  </mergeCells>
  <conditionalFormatting sqref="I66:I7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{E4BABD98-4C96-409A-A475-A59FDF319A86}</x14:id>
        </ext>
      </extLst>
    </cfRule>
  </conditionalFormatting>
  <conditionalFormatting sqref="N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{6DE621AC-BF04-496F-8569-969CA18E987C}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BABD98-4C96-409A-A475-A59FDF319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I66:I71</xm:sqref>
        </x14:conditionalFormatting>
        <x14:conditionalFormatting xmlns:xm="http://schemas.microsoft.com/office/excel/2006/main">
          <x14:cfRule type="dataBar" id="{6DE621AC-BF04-496F-8569-969CA18E98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1870-9626-4F49-905A-03BD99E047A2}">
  <sheetPr>
    <pageSetUpPr autoPageBreaks="0"/>
  </sheetPr>
  <dimension ref="A1:P71"/>
  <sheetViews>
    <sheetView topLeftCell="A51" zoomScale="94" zoomScaleNormal="70" workbookViewId="0">
      <selection activeCell="C6" sqref="C6"/>
    </sheetView>
  </sheetViews>
  <sheetFormatPr defaultColWidth="8.88671875" defaultRowHeight="14.4" x14ac:dyDescent="0.3"/>
  <cols>
    <col min="1" max="1" width="27.109375" style="55" customWidth="1"/>
    <col min="2" max="2" width="17.21875" style="55" bestFit="1" customWidth="1"/>
    <col min="3" max="7" width="17.88671875" style="55" bestFit="1" customWidth="1"/>
    <col min="8" max="8" width="21.5546875" style="55" customWidth="1"/>
    <col min="9" max="12" width="17.21875" style="55" bestFit="1" customWidth="1"/>
    <col min="13" max="13" width="12.88671875" style="55" bestFit="1" customWidth="1"/>
    <col min="14" max="14" width="6.109375" style="55" bestFit="1" customWidth="1"/>
    <col min="15" max="16384" width="8.88671875" style="55"/>
  </cols>
  <sheetData>
    <row r="1" spans="1:4" x14ac:dyDescent="0.3">
      <c r="A1" s="88" t="s">
        <v>45</v>
      </c>
      <c r="B1" s="41"/>
      <c r="C1" s="89" t="s">
        <v>84</v>
      </c>
    </row>
    <row r="2" spans="1:4" x14ac:dyDescent="0.3">
      <c r="A2" s="42" t="s">
        <v>46</v>
      </c>
      <c r="B2" s="16"/>
      <c r="C2" s="27"/>
    </row>
    <row r="3" spans="1:4" x14ac:dyDescent="0.3">
      <c r="A3" s="43" t="s">
        <v>47</v>
      </c>
      <c r="B3" s="16"/>
      <c r="C3" s="28">
        <v>7000000000</v>
      </c>
    </row>
    <row r="4" spans="1:4" x14ac:dyDescent="0.3">
      <c r="A4" s="37"/>
      <c r="B4" s="16"/>
      <c r="C4" s="27"/>
    </row>
    <row r="5" spans="1:4" x14ac:dyDescent="0.3">
      <c r="A5" s="44" t="s">
        <v>48</v>
      </c>
      <c r="B5" s="16"/>
      <c r="C5" s="27"/>
    </row>
    <row r="6" spans="1:4" x14ac:dyDescent="0.3">
      <c r="A6" s="43" t="s">
        <v>49</v>
      </c>
      <c r="B6" s="16"/>
      <c r="C6" s="29">
        <v>38</v>
      </c>
    </row>
    <row r="7" spans="1:4" x14ac:dyDescent="0.3">
      <c r="A7" s="43" t="s">
        <v>50</v>
      </c>
      <c r="B7" s="16"/>
      <c r="C7" s="28">
        <v>4600000</v>
      </c>
      <c r="D7" s="82"/>
    </row>
    <row r="8" spans="1:4" x14ac:dyDescent="0.3">
      <c r="A8" s="37"/>
      <c r="B8" s="16"/>
      <c r="C8" s="27"/>
    </row>
    <row r="9" spans="1:4" x14ac:dyDescent="0.3">
      <c r="A9" s="45" t="s">
        <v>51</v>
      </c>
      <c r="B9" s="16"/>
      <c r="C9" s="27"/>
    </row>
    <row r="10" spans="1:4" x14ac:dyDescent="0.3">
      <c r="A10" s="43" t="s">
        <v>52</v>
      </c>
      <c r="B10" s="16"/>
      <c r="C10" s="30">
        <v>0.03</v>
      </c>
    </row>
    <row r="11" spans="1:4" x14ac:dyDescent="0.3">
      <c r="A11" s="43" t="s">
        <v>53</v>
      </c>
      <c r="B11" s="16"/>
      <c r="C11" s="30">
        <v>2.5000000000000001E-2</v>
      </c>
    </row>
    <row r="12" spans="1:4" x14ac:dyDescent="0.3">
      <c r="A12" s="37"/>
      <c r="B12" s="16"/>
      <c r="C12" s="27"/>
    </row>
    <row r="13" spans="1:4" x14ac:dyDescent="0.3">
      <c r="A13" s="45" t="s">
        <v>54</v>
      </c>
      <c r="B13" s="16"/>
      <c r="C13" s="27"/>
    </row>
    <row r="14" spans="1:4" x14ac:dyDescent="0.3">
      <c r="A14" s="43" t="s">
        <v>55</v>
      </c>
      <c r="B14" s="16"/>
      <c r="C14" s="30">
        <v>0.85</v>
      </c>
    </row>
    <row r="15" spans="1:4" x14ac:dyDescent="0.3">
      <c r="A15" s="43" t="s">
        <v>56</v>
      </c>
      <c r="B15" s="16"/>
      <c r="C15" s="30">
        <v>0.6</v>
      </c>
    </row>
    <row r="16" spans="1:4" x14ac:dyDescent="0.3">
      <c r="A16" s="37"/>
      <c r="B16" s="16"/>
      <c r="C16" s="27"/>
    </row>
    <row r="17" spans="1:12" x14ac:dyDescent="0.3">
      <c r="A17" s="45" t="s">
        <v>57</v>
      </c>
      <c r="B17" s="16"/>
      <c r="C17" s="27"/>
    </row>
    <row r="18" spans="1:12" x14ac:dyDescent="0.3">
      <c r="A18" s="43" t="s">
        <v>5</v>
      </c>
      <c r="B18" s="16"/>
      <c r="C18" s="30">
        <v>2.5000000000000001E-2</v>
      </c>
    </row>
    <row r="19" spans="1:12" x14ac:dyDescent="0.3">
      <c r="A19" s="37" t="s">
        <v>6</v>
      </c>
      <c r="B19" s="16"/>
      <c r="C19" s="30">
        <v>9.2999999999999999E-2</v>
      </c>
    </row>
    <row r="20" spans="1:12" x14ac:dyDescent="0.3">
      <c r="A20" s="43" t="s">
        <v>58</v>
      </c>
      <c r="B20" s="16"/>
      <c r="C20" s="30">
        <v>0.29599999999999999</v>
      </c>
    </row>
    <row r="21" spans="1:12" x14ac:dyDescent="0.3">
      <c r="A21" s="46" t="s">
        <v>59</v>
      </c>
      <c r="B21" s="31"/>
      <c r="C21" s="32">
        <v>0.18</v>
      </c>
    </row>
    <row r="22" spans="1:12" x14ac:dyDescent="0.3">
      <c r="A22" s="56"/>
      <c r="B22" s="57"/>
      <c r="C22" s="58"/>
    </row>
    <row r="24" spans="1:12" x14ac:dyDescent="0.3">
      <c r="A24" s="53" t="s">
        <v>81</v>
      </c>
      <c r="B24" s="33" t="s">
        <v>67</v>
      </c>
      <c r="C24" s="34" t="s">
        <v>68</v>
      </c>
      <c r="D24" s="33" t="s">
        <v>73</v>
      </c>
      <c r="E24" s="34" t="s">
        <v>74</v>
      </c>
      <c r="F24" s="33" t="s">
        <v>75</v>
      </c>
      <c r="G24" s="34" t="s">
        <v>76</v>
      </c>
      <c r="H24" s="33" t="s">
        <v>77</v>
      </c>
      <c r="I24" s="34" t="s">
        <v>78</v>
      </c>
      <c r="J24" s="33" t="s">
        <v>79</v>
      </c>
      <c r="K24" s="34" t="s">
        <v>80</v>
      </c>
      <c r="L24" s="35" t="s">
        <v>69</v>
      </c>
    </row>
    <row r="25" spans="1:12" x14ac:dyDescent="0.3">
      <c r="A25" s="36" t="s">
        <v>60</v>
      </c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9"/>
    </row>
    <row r="26" spans="1:12" x14ac:dyDescent="0.3">
      <c r="A26" s="37" t="s">
        <v>61</v>
      </c>
      <c r="B26" s="17"/>
      <c r="C26" s="20">
        <f>$C$6*$C$7*12</f>
        <v>2097600000</v>
      </c>
      <c r="D26" s="66">
        <f>C26*(1+$C$10)</f>
        <v>2160528000</v>
      </c>
      <c r="E26" s="66">
        <f t="shared" ref="E26:L26" si="0">D26*(1+$C$10)</f>
        <v>2225343840</v>
      </c>
      <c r="F26" s="66">
        <f t="shared" si="0"/>
        <v>2292104155.2000003</v>
      </c>
      <c r="G26" s="66">
        <f t="shared" si="0"/>
        <v>2360867279.8560004</v>
      </c>
      <c r="H26" s="66">
        <f t="shared" si="0"/>
        <v>2431693298.2516804</v>
      </c>
      <c r="I26" s="66">
        <f t="shared" si="0"/>
        <v>2504644097.1992307</v>
      </c>
      <c r="J26" s="66">
        <f t="shared" si="0"/>
        <v>2579783420.1152077</v>
      </c>
      <c r="K26" s="66">
        <f t="shared" si="0"/>
        <v>2657176922.7186642</v>
      </c>
      <c r="L26" s="68">
        <f t="shared" si="0"/>
        <v>2736892230.4002242</v>
      </c>
    </row>
    <row r="27" spans="1:12" x14ac:dyDescent="0.3">
      <c r="A27" s="37" t="s">
        <v>62</v>
      </c>
      <c r="B27" s="17"/>
      <c r="C27" s="20">
        <f>C26*(1-$C$14)</f>
        <v>314640000.00000006</v>
      </c>
      <c r="D27" s="20">
        <f>D26*(1-$C$15)</f>
        <v>864211200</v>
      </c>
      <c r="E27" s="20">
        <f t="shared" ref="E27:L27" si="1">E26*(1-$C$15)</f>
        <v>890137536</v>
      </c>
      <c r="F27" s="20">
        <f t="shared" si="1"/>
        <v>916841662.08000016</v>
      </c>
      <c r="G27" s="20">
        <f t="shared" si="1"/>
        <v>944346911.94240022</v>
      </c>
      <c r="H27" s="20">
        <f t="shared" si="1"/>
        <v>972677319.30067217</v>
      </c>
      <c r="I27" s="20">
        <f t="shared" si="1"/>
        <v>1001857638.8796923</v>
      </c>
      <c r="J27" s="20">
        <f t="shared" si="1"/>
        <v>1031913368.0460831</v>
      </c>
      <c r="K27" s="20">
        <f t="shared" si="1"/>
        <v>1062870769.0874658</v>
      </c>
      <c r="L27" s="69">
        <f t="shared" si="1"/>
        <v>1094756892.1600897</v>
      </c>
    </row>
    <row r="28" spans="1:12" x14ac:dyDescent="0.3">
      <c r="A28" s="38" t="s">
        <v>4</v>
      </c>
      <c r="B28" s="17"/>
      <c r="C28" s="20">
        <f>C26-C27</f>
        <v>1782960000</v>
      </c>
      <c r="D28" s="20">
        <f t="shared" ref="D28:L28" si="2">D26-D27</f>
        <v>1296316800</v>
      </c>
      <c r="E28" s="20">
        <f t="shared" si="2"/>
        <v>1335206304</v>
      </c>
      <c r="F28" s="20">
        <f t="shared" si="2"/>
        <v>1375262493.1200001</v>
      </c>
      <c r="G28" s="20">
        <f t="shared" si="2"/>
        <v>1416520367.9136002</v>
      </c>
      <c r="H28" s="20">
        <f t="shared" si="2"/>
        <v>1459015978.9510083</v>
      </c>
      <c r="I28" s="20">
        <f t="shared" si="2"/>
        <v>1502786458.3195384</v>
      </c>
      <c r="J28" s="20">
        <f t="shared" si="2"/>
        <v>1547870052.0691247</v>
      </c>
      <c r="K28" s="20">
        <f t="shared" si="2"/>
        <v>1594306153.6311984</v>
      </c>
      <c r="L28" s="69">
        <f t="shared" si="2"/>
        <v>1642135338.2401345</v>
      </c>
    </row>
    <row r="29" spans="1:12" x14ac:dyDescent="0.3">
      <c r="A29" s="38" t="s">
        <v>63</v>
      </c>
      <c r="B29" s="17"/>
      <c r="C29" s="65"/>
      <c r="D29" s="65"/>
      <c r="E29" s="20"/>
      <c r="F29" s="20"/>
      <c r="G29" s="20"/>
      <c r="H29" s="20"/>
      <c r="I29" s="20"/>
      <c r="J29" s="20"/>
      <c r="K29" s="20"/>
      <c r="L29" s="69"/>
    </row>
    <row r="30" spans="1:12" x14ac:dyDescent="0.3">
      <c r="A30" s="37" t="s">
        <v>5</v>
      </c>
      <c r="B30" s="17"/>
      <c r="C30" s="20">
        <f>-C28*$C$18</f>
        <v>-44574000</v>
      </c>
      <c r="D30" s="20">
        <f t="shared" ref="D30:L30" si="3">-D28*$C$18</f>
        <v>-32407920</v>
      </c>
      <c r="E30" s="20">
        <f t="shared" si="3"/>
        <v>-33380157.600000001</v>
      </c>
      <c r="F30" s="20">
        <f t="shared" si="3"/>
        <v>-34381562.328000002</v>
      </c>
      <c r="G30" s="20">
        <f t="shared" si="3"/>
        <v>-35413009.197840005</v>
      </c>
      <c r="H30" s="20">
        <f t="shared" si="3"/>
        <v>-36475399.473775208</v>
      </c>
      <c r="I30" s="20">
        <f t="shared" si="3"/>
        <v>-37569661.457988463</v>
      </c>
      <c r="J30" s="20">
        <f t="shared" si="3"/>
        <v>-38696751.301728122</v>
      </c>
      <c r="K30" s="20">
        <f t="shared" si="3"/>
        <v>-39857653.84077996</v>
      </c>
      <c r="L30" s="69">
        <f t="shared" si="3"/>
        <v>-41053383.456003368</v>
      </c>
    </row>
    <row r="31" spans="1:12" x14ac:dyDescent="0.3">
      <c r="A31" s="37" t="s">
        <v>6</v>
      </c>
      <c r="B31" s="17"/>
      <c r="C31" s="66">
        <f>-C28*$C$19</f>
        <v>-165815280</v>
      </c>
      <c r="D31" s="66">
        <f t="shared" ref="D31:L31" si="4">-D28*$C$19</f>
        <v>-120557462.40000001</v>
      </c>
      <c r="E31" s="66">
        <f t="shared" si="4"/>
        <v>-124174186.272</v>
      </c>
      <c r="F31" s="66">
        <f t="shared" si="4"/>
        <v>-127899411.86016001</v>
      </c>
      <c r="G31" s="66">
        <f t="shared" si="4"/>
        <v>-131736394.21596482</v>
      </c>
      <c r="H31" s="66">
        <f t="shared" si="4"/>
        <v>-135688486.04244378</v>
      </c>
      <c r="I31" s="66">
        <f t="shared" si="4"/>
        <v>-139759140.62371707</v>
      </c>
      <c r="J31" s="66">
        <f t="shared" si="4"/>
        <v>-143951914.84242859</v>
      </c>
      <c r="K31" s="66">
        <f t="shared" si="4"/>
        <v>-148270472.28770146</v>
      </c>
      <c r="L31" s="68">
        <f t="shared" si="4"/>
        <v>-152718586.4563325</v>
      </c>
    </row>
    <row r="32" spans="1:12" x14ac:dyDescent="0.3">
      <c r="A32" s="38" t="s">
        <v>7</v>
      </c>
      <c r="B32" s="17"/>
      <c r="C32" s="66">
        <f>SUM(C28:C31)</f>
        <v>1572570720</v>
      </c>
      <c r="D32" s="66">
        <f t="shared" ref="D32:L32" si="5">SUM(D28:D31)</f>
        <v>1143351417.5999999</v>
      </c>
      <c r="E32" s="66">
        <f t="shared" si="5"/>
        <v>1177651960.128</v>
      </c>
      <c r="F32" s="66">
        <f t="shared" si="5"/>
        <v>1212981518.9318399</v>
      </c>
      <c r="G32" s="66">
        <f t="shared" si="5"/>
        <v>1249370964.4997954</v>
      </c>
      <c r="H32" s="66">
        <f t="shared" si="5"/>
        <v>1286852093.4347894</v>
      </c>
      <c r="I32" s="66">
        <f t="shared" si="5"/>
        <v>1325457656.2378328</v>
      </c>
      <c r="J32" s="66">
        <f t="shared" si="5"/>
        <v>1365221385.924968</v>
      </c>
      <c r="K32" s="66">
        <f t="shared" si="5"/>
        <v>1406178027.502717</v>
      </c>
      <c r="L32" s="68">
        <f t="shared" si="5"/>
        <v>1448363368.3277986</v>
      </c>
    </row>
    <row r="33" spans="1:12" x14ac:dyDescent="0.3">
      <c r="A33" s="37" t="s">
        <v>64</v>
      </c>
      <c r="B33" s="17"/>
      <c r="C33" s="20">
        <f>-C28*$C$20</f>
        <v>-527756160</v>
      </c>
      <c r="D33" s="20">
        <f>C33*(1+$C$11)</f>
        <v>-540950064</v>
      </c>
      <c r="E33" s="20">
        <f t="shared" ref="E33:L33" si="6">D33*(1+$C$11)</f>
        <v>-554473815.5999999</v>
      </c>
      <c r="F33" s="20">
        <f t="shared" si="6"/>
        <v>-568335660.98999989</v>
      </c>
      <c r="G33" s="20">
        <f t="shared" si="6"/>
        <v>-582544052.51474988</v>
      </c>
      <c r="H33" s="20">
        <f t="shared" si="6"/>
        <v>-597107653.8276186</v>
      </c>
      <c r="I33" s="20">
        <f t="shared" si="6"/>
        <v>-612035345.17330897</v>
      </c>
      <c r="J33" s="20">
        <f t="shared" si="6"/>
        <v>-627336228.80264163</v>
      </c>
      <c r="K33" s="20">
        <f t="shared" si="6"/>
        <v>-643019634.52270758</v>
      </c>
      <c r="L33" s="20">
        <f t="shared" si="6"/>
        <v>-659095125.38577521</v>
      </c>
    </row>
    <row r="34" spans="1:12" s="64" customFormat="1" ht="14.4" customHeight="1" x14ac:dyDescent="0.3">
      <c r="A34" s="38" t="s">
        <v>65</v>
      </c>
      <c r="B34" s="18"/>
      <c r="C34" s="65">
        <f>SUM(C32:C33)</f>
        <v>1044814560</v>
      </c>
      <c r="D34" s="70">
        <f>SUM(D32:D33)</f>
        <v>602401353.5999999</v>
      </c>
      <c r="E34" s="70">
        <f t="shared" ref="E34:L34" si="7">SUM(E32:E33)</f>
        <v>623178144.52800012</v>
      </c>
      <c r="F34" s="70">
        <f t="shared" si="7"/>
        <v>644645857.94184005</v>
      </c>
      <c r="G34" s="70">
        <f t="shared" si="7"/>
        <v>666826911.98504555</v>
      </c>
      <c r="H34" s="70">
        <f t="shared" si="7"/>
        <v>689744439.60717082</v>
      </c>
      <c r="I34" s="70">
        <f t="shared" si="7"/>
        <v>713422311.06452382</v>
      </c>
      <c r="J34" s="70">
        <f t="shared" si="7"/>
        <v>737885157.12232637</v>
      </c>
      <c r="K34" s="70">
        <f t="shared" si="7"/>
        <v>763158392.98000944</v>
      </c>
      <c r="L34" s="71">
        <f t="shared" si="7"/>
        <v>789268242.9420234</v>
      </c>
    </row>
    <row r="35" spans="1:12" x14ac:dyDescent="0.3">
      <c r="A35" s="37" t="s">
        <v>10</v>
      </c>
      <c r="B35" s="17"/>
      <c r="C35" s="20">
        <f>-C34*$C$21</f>
        <v>-188066620.79999998</v>
      </c>
      <c r="D35" s="20">
        <f t="shared" ref="D35:L35" si="8">-D34*$C$21</f>
        <v>-108432243.64799997</v>
      </c>
      <c r="E35" s="20">
        <f t="shared" si="8"/>
        <v>-112172066.01504001</v>
      </c>
      <c r="F35" s="20">
        <f t="shared" si="8"/>
        <v>-116036254.4295312</v>
      </c>
      <c r="G35" s="20">
        <f t="shared" si="8"/>
        <v>-120028844.15730819</v>
      </c>
      <c r="H35" s="20">
        <f t="shared" si="8"/>
        <v>-124153999.12929074</v>
      </c>
      <c r="I35" s="20">
        <f t="shared" si="8"/>
        <v>-128416015.99161428</v>
      </c>
      <c r="J35" s="20">
        <f t="shared" si="8"/>
        <v>-132819328.28201874</v>
      </c>
      <c r="K35" s="20">
        <f t="shared" si="8"/>
        <v>-137368510.73640171</v>
      </c>
      <c r="L35" s="69">
        <f t="shared" si="8"/>
        <v>-142068283.72956422</v>
      </c>
    </row>
    <row r="36" spans="1:12" x14ac:dyDescent="0.3">
      <c r="A36" s="38" t="s">
        <v>66</v>
      </c>
      <c r="B36" s="17"/>
      <c r="C36" s="20">
        <f>SUM(C34:C35)</f>
        <v>856747939.20000005</v>
      </c>
      <c r="D36" s="20">
        <f t="shared" ref="D36:L36" si="9">SUM(D34:D35)</f>
        <v>493969109.9519999</v>
      </c>
      <c r="E36" s="20">
        <f t="shared" si="9"/>
        <v>511006078.51296008</v>
      </c>
      <c r="F36" s="20">
        <f t="shared" si="9"/>
        <v>528609603.51230884</v>
      </c>
      <c r="G36" s="20">
        <f t="shared" si="9"/>
        <v>546798067.82773733</v>
      </c>
      <c r="H36" s="20">
        <f t="shared" si="9"/>
        <v>565590440.47788012</v>
      </c>
      <c r="I36" s="20">
        <f t="shared" si="9"/>
        <v>585006295.07290959</v>
      </c>
      <c r="J36" s="20">
        <f t="shared" si="9"/>
        <v>605065828.84030759</v>
      </c>
      <c r="K36" s="20">
        <f t="shared" si="9"/>
        <v>625789882.24360776</v>
      </c>
      <c r="L36" s="69">
        <f t="shared" si="9"/>
        <v>647199959.21245921</v>
      </c>
    </row>
    <row r="37" spans="1:12" x14ac:dyDescent="0.3">
      <c r="A37" s="39" t="s">
        <v>42</v>
      </c>
      <c r="B37" s="21">
        <f>-$C$3</f>
        <v>-7000000000</v>
      </c>
      <c r="C37" s="20">
        <f>C36</f>
        <v>856747939.20000005</v>
      </c>
      <c r="D37" s="20">
        <f t="shared" ref="D37:L37" si="10">D36</f>
        <v>493969109.9519999</v>
      </c>
      <c r="E37" s="20">
        <f t="shared" si="10"/>
        <v>511006078.51296008</v>
      </c>
      <c r="F37" s="20">
        <f t="shared" si="10"/>
        <v>528609603.51230884</v>
      </c>
      <c r="G37" s="20">
        <f t="shared" si="10"/>
        <v>546798067.82773733</v>
      </c>
      <c r="H37" s="20">
        <f t="shared" si="10"/>
        <v>565590440.47788012</v>
      </c>
      <c r="I37" s="20">
        <f t="shared" si="10"/>
        <v>585006295.07290959</v>
      </c>
      <c r="J37" s="20">
        <f t="shared" si="10"/>
        <v>605065828.84030759</v>
      </c>
      <c r="K37" s="20">
        <f t="shared" si="10"/>
        <v>625789882.24360776</v>
      </c>
      <c r="L37" s="69">
        <f t="shared" si="10"/>
        <v>647199959.21245921</v>
      </c>
    </row>
    <row r="38" spans="1:12" x14ac:dyDescent="0.3">
      <c r="A38" s="40" t="s">
        <v>82</v>
      </c>
      <c r="B38" s="74">
        <f>B37</f>
        <v>-7000000000</v>
      </c>
      <c r="C38" s="67">
        <f>B38+C37</f>
        <v>-6143252060.8000002</v>
      </c>
      <c r="D38" s="67">
        <f t="shared" ref="D38:L38" si="11">C38+D37</f>
        <v>-5649282950.8480005</v>
      </c>
      <c r="E38" s="67">
        <f t="shared" si="11"/>
        <v>-5138276872.3350401</v>
      </c>
      <c r="F38" s="67">
        <f t="shared" si="11"/>
        <v>-4609667268.822731</v>
      </c>
      <c r="G38" s="67">
        <f t="shared" si="11"/>
        <v>-4062869200.9949937</v>
      </c>
      <c r="H38" s="67">
        <f t="shared" si="11"/>
        <v>-3497278760.5171137</v>
      </c>
      <c r="I38" s="72">
        <f t="shared" si="11"/>
        <v>-2912272465.4442043</v>
      </c>
      <c r="J38" s="67">
        <f t="shared" si="11"/>
        <v>-2307206636.6038966</v>
      </c>
      <c r="K38" s="67">
        <f t="shared" si="11"/>
        <v>-1681416754.3602889</v>
      </c>
      <c r="L38" s="73">
        <f t="shared" si="11"/>
        <v>-1034216795.1478297</v>
      </c>
    </row>
    <row r="39" spans="1:12" x14ac:dyDescent="0.3">
      <c r="A39" s="59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2" x14ac:dyDescent="0.3">
      <c r="A40" s="52" t="s">
        <v>83</v>
      </c>
      <c r="B40" s="54">
        <f>-$C$3</f>
        <v>-7000000000</v>
      </c>
      <c r="C40" s="62"/>
      <c r="J40" s="277" t="s">
        <v>94</v>
      </c>
      <c r="K40" s="278"/>
    </row>
    <row r="41" spans="1:12" ht="28.8" x14ac:dyDescent="0.3">
      <c r="A41" s="47" t="s">
        <v>68</v>
      </c>
      <c r="B41" s="22">
        <f>C37</f>
        <v>856747939.20000005</v>
      </c>
      <c r="C41" s="56"/>
      <c r="J41" s="76" t="s">
        <v>95</v>
      </c>
      <c r="K41" s="86">
        <f>-((D30+D31+D33+D35)/12)/C7</f>
        <v>14.535284239999999</v>
      </c>
    </row>
    <row r="42" spans="1:12" ht="28.8" x14ac:dyDescent="0.3">
      <c r="A42" s="47" t="s">
        <v>73</v>
      </c>
      <c r="B42" s="22">
        <f>D$37</f>
        <v>493969109.9519999</v>
      </c>
      <c r="C42" s="57"/>
      <c r="J42" s="77" t="s">
        <v>96</v>
      </c>
      <c r="K42" s="79">
        <f>K41/C6</f>
        <v>0.38250747999999996</v>
      </c>
    </row>
    <row r="43" spans="1:12" x14ac:dyDescent="0.3">
      <c r="A43" s="47" t="s">
        <v>74</v>
      </c>
      <c r="B43" s="22">
        <f>E$37</f>
        <v>511006078.51296008</v>
      </c>
      <c r="C43" s="57"/>
      <c r="J43" s="87" t="s">
        <v>107</v>
      </c>
    </row>
    <row r="44" spans="1:12" x14ac:dyDescent="0.3">
      <c r="A44" s="47" t="s">
        <v>75</v>
      </c>
      <c r="B44" s="22">
        <f>F$37</f>
        <v>528609603.51230884</v>
      </c>
      <c r="C44" s="57"/>
    </row>
    <row r="45" spans="1:12" x14ac:dyDescent="0.3">
      <c r="A45" s="47" t="s">
        <v>76</v>
      </c>
      <c r="B45" s="22">
        <f>G$37</f>
        <v>546798067.82773733</v>
      </c>
      <c r="C45" s="57"/>
    </row>
    <row r="46" spans="1:12" x14ac:dyDescent="0.3">
      <c r="A46" s="47" t="s">
        <v>77</v>
      </c>
      <c r="B46" s="22">
        <f>H$37</f>
        <v>565590440.47788012</v>
      </c>
      <c r="C46" s="57"/>
    </row>
    <row r="47" spans="1:12" x14ac:dyDescent="0.3">
      <c r="A47" s="47" t="s">
        <v>78</v>
      </c>
      <c r="B47" s="22">
        <f>I$37</f>
        <v>585006295.07290959</v>
      </c>
      <c r="C47" s="57"/>
    </row>
    <row r="48" spans="1:12" x14ac:dyDescent="0.3">
      <c r="A48" s="47" t="s">
        <v>79</v>
      </c>
      <c r="B48" s="22">
        <f>J$37</f>
        <v>605065828.84030759</v>
      </c>
      <c r="C48" s="57"/>
    </row>
    <row r="49" spans="1:3" x14ac:dyDescent="0.3">
      <c r="A49" s="47" t="s">
        <v>80</v>
      </c>
      <c r="B49" s="22">
        <f>K$37</f>
        <v>625789882.24360776</v>
      </c>
      <c r="C49" s="57"/>
    </row>
    <row r="50" spans="1:3" x14ac:dyDescent="0.3">
      <c r="A50" s="48" t="s">
        <v>69</v>
      </c>
      <c r="B50" s="23">
        <f>L$37</f>
        <v>647199959.21245921</v>
      </c>
      <c r="C50" s="57"/>
    </row>
    <row r="51" spans="1:3" x14ac:dyDescent="0.3">
      <c r="A51" s="15"/>
      <c r="B51" s="15"/>
      <c r="C51" s="57"/>
    </row>
    <row r="52" spans="1:3" x14ac:dyDescent="0.3">
      <c r="A52" s="270" t="s">
        <v>70</v>
      </c>
      <c r="B52" s="271"/>
      <c r="C52" s="57"/>
    </row>
    <row r="53" spans="1:3" x14ac:dyDescent="0.3">
      <c r="A53" s="49" t="s">
        <v>27</v>
      </c>
      <c r="B53" s="24">
        <f>IRR(B40:B50)</f>
        <v>-2.8129042561216067E-2</v>
      </c>
      <c r="C53" s="58"/>
    </row>
    <row r="54" spans="1:3" x14ac:dyDescent="0.3">
      <c r="A54" s="50" t="s">
        <v>71</v>
      </c>
      <c r="B54" s="25">
        <f>D36/$C$3</f>
        <v>7.0567015707428557E-2</v>
      </c>
      <c r="C54" s="58"/>
    </row>
    <row r="55" spans="1:3" x14ac:dyDescent="0.3">
      <c r="A55" s="51" t="s">
        <v>72</v>
      </c>
      <c r="B55" s="26" t="e" cm="1">
        <f t="array" ref="B55">(COUNTIF(B38:L38,"&lt;0")-1) + (-INDEX(B38:L38, COUNTIF(B38:L38,"&lt;0")) / INDEX(B37:L37, COUNTIF(B38:L38,"&lt;0")+1))</f>
        <v>#REF!</v>
      </c>
      <c r="C55" s="63"/>
    </row>
    <row r="65" spans="1:16" x14ac:dyDescent="0.3">
      <c r="A65" s="268" t="s">
        <v>97</v>
      </c>
      <c r="B65" s="269"/>
      <c r="H65" s="272" t="s">
        <v>89</v>
      </c>
      <c r="I65" s="273"/>
      <c r="J65" s="272" t="s">
        <v>99</v>
      </c>
      <c r="K65" s="273"/>
      <c r="M65" s="276"/>
      <c r="N65" s="276"/>
      <c r="O65" s="276"/>
      <c r="P65" s="276"/>
    </row>
    <row r="66" spans="1:16" ht="27.6" customHeight="1" x14ac:dyDescent="0.3">
      <c r="A66" s="90" t="s">
        <v>85</v>
      </c>
      <c r="B66" s="91">
        <f>ABS(E27)</f>
        <v>890137536</v>
      </c>
      <c r="H66" s="80" t="s">
        <v>90</v>
      </c>
      <c r="I66" s="81">
        <v>8.6977327173762609E-2</v>
      </c>
      <c r="J66" s="274" t="s">
        <v>104</v>
      </c>
      <c r="K66" s="275"/>
      <c r="M66" s="75"/>
      <c r="N66" s="83"/>
      <c r="O66" s="279"/>
      <c r="P66" s="279"/>
    </row>
    <row r="67" spans="1:16" ht="28.8" x14ac:dyDescent="0.3">
      <c r="A67" s="92" t="s">
        <v>86</v>
      </c>
      <c r="B67" s="93">
        <f>ABS((E30)+ABS((E31)))</f>
        <v>90794028.671999991</v>
      </c>
      <c r="H67" s="78" t="s">
        <v>92</v>
      </c>
      <c r="I67" s="81">
        <v>7.19463415673669E-2</v>
      </c>
      <c r="J67" s="274" t="s">
        <v>98</v>
      </c>
      <c r="K67" s="275"/>
    </row>
    <row r="68" spans="1:16" ht="32.4" customHeight="1" x14ac:dyDescent="0.3">
      <c r="A68" s="92" t="s">
        <v>87</v>
      </c>
      <c r="B68" s="93">
        <f>ABS(E33)</f>
        <v>554473815.5999999</v>
      </c>
      <c r="H68" s="78" t="s">
        <v>101</v>
      </c>
      <c r="I68" s="81">
        <v>-2.8129042561216067E-2</v>
      </c>
      <c r="J68" s="274" t="s">
        <v>102</v>
      </c>
      <c r="K68" s="275"/>
    </row>
    <row r="69" spans="1:16" ht="31.2" customHeight="1" x14ac:dyDescent="0.3">
      <c r="A69" s="94" t="s">
        <v>88</v>
      </c>
      <c r="B69" s="95">
        <f>ABS(E35)</f>
        <v>112172066.01504001</v>
      </c>
      <c r="H69" s="78" t="s">
        <v>91</v>
      </c>
      <c r="I69" s="81">
        <v>6.7257102082223685E-2</v>
      </c>
      <c r="J69" s="274" t="s">
        <v>103</v>
      </c>
      <c r="K69" s="275"/>
    </row>
    <row r="70" spans="1:16" ht="43.2" customHeight="1" x14ac:dyDescent="0.3">
      <c r="H70" s="78" t="s">
        <v>93</v>
      </c>
      <c r="I70" s="81">
        <v>7.766549609964879E-2</v>
      </c>
      <c r="J70" s="274" t="s">
        <v>100</v>
      </c>
      <c r="K70" s="275"/>
    </row>
    <row r="71" spans="1:16" ht="43.2" customHeight="1" x14ac:dyDescent="0.3">
      <c r="H71" s="78" t="s">
        <v>106</v>
      </c>
      <c r="I71" s="81">
        <v>7.0539218565478734E-2</v>
      </c>
      <c r="J71" s="274" t="s">
        <v>105</v>
      </c>
      <c r="K71" s="275"/>
    </row>
  </sheetData>
  <mergeCells count="14">
    <mergeCell ref="J70:K70"/>
    <mergeCell ref="J71:K71"/>
    <mergeCell ref="O65:P65"/>
    <mergeCell ref="J66:K66"/>
    <mergeCell ref="O66:P66"/>
    <mergeCell ref="J67:K67"/>
    <mergeCell ref="J68:K68"/>
    <mergeCell ref="J69:K69"/>
    <mergeCell ref="M65:N65"/>
    <mergeCell ref="J40:K40"/>
    <mergeCell ref="A52:B52"/>
    <mergeCell ref="A65:B65"/>
    <mergeCell ref="H65:I65"/>
    <mergeCell ref="J65:K65"/>
  </mergeCells>
  <conditionalFormatting sqref="I66:I7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{174CC3EE-4E2A-46E3-90CE-4A5E52332B38}</x14:id>
        </ext>
      </extLst>
    </cfRule>
  </conditionalFormatting>
  <conditionalFormatting sqref="N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{FEBC650D-B7FA-4DB3-8483-2922832DC4B0}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4CC3EE-4E2A-46E3-90CE-4A5E52332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I66:I71</xm:sqref>
        </x14:conditionalFormatting>
        <x14:conditionalFormatting xmlns:xm="http://schemas.microsoft.com/office/excel/2006/main">
          <x14:cfRule type="dataBar" id="{FEBC650D-B7FA-4DB3-8483-2922832DC4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ED01-C83C-4DFB-923E-DA1AB6678954}">
  <sheetPr>
    <pageSetUpPr autoPageBreaks="0"/>
  </sheetPr>
  <dimension ref="A1:P71"/>
  <sheetViews>
    <sheetView zoomScale="94" zoomScaleNormal="70" workbookViewId="0">
      <selection activeCell="C6" sqref="C6"/>
    </sheetView>
  </sheetViews>
  <sheetFormatPr defaultColWidth="8.88671875" defaultRowHeight="14.4" x14ac:dyDescent="0.3"/>
  <cols>
    <col min="1" max="1" width="27.109375" style="55" customWidth="1"/>
    <col min="2" max="2" width="17.21875" style="55" bestFit="1" customWidth="1"/>
    <col min="3" max="7" width="17.88671875" style="55" bestFit="1" customWidth="1"/>
    <col min="8" max="8" width="21.5546875" style="55" customWidth="1"/>
    <col min="9" max="12" width="17.21875" style="55" bestFit="1" customWidth="1"/>
    <col min="13" max="13" width="12.88671875" style="55" bestFit="1" customWidth="1"/>
    <col min="14" max="14" width="6.109375" style="55" bestFit="1" customWidth="1"/>
    <col min="15" max="16384" width="8.88671875" style="55"/>
  </cols>
  <sheetData>
    <row r="1" spans="1:4" x14ac:dyDescent="0.3">
      <c r="A1" s="88" t="s">
        <v>45</v>
      </c>
      <c r="B1" s="41"/>
      <c r="C1" s="89" t="s">
        <v>84</v>
      </c>
    </row>
    <row r="2" spans="1:4" x14ac:dyDescent="0.3">
      <c r="A2" s="42" t="s">
        <v>46</v>
      </c>
      <c r="B2" s="16"/>
      <c r="C2" s="27"/>
    </row>
    <row r="3" spans="1:4" x14ac:dyDescent="0.3">
      <c r="A3" s="43" t="s">
        <v>47</v>
      </c>
      <c r="B3" s="16"/>
      <c r="C3" s="28">
        <v>7700000000</v>
      </c>
    </row>
    <row r="4" spans="1:4" x14ac:dyDescent="0.3">
      <c r="A4" s="37"/>
      <c r="B4" s="16"/>
      <c r="C4" s="27"/>
    </row>
    <row r="5" spans="1:4" x14ac:dyDescent="0.3">
      <c r="A5" s="44" t="s">
        <v>48</v>
      </c>
      <c r="B5" s="16"/>
      <c r="C5" s="27"/>
    </row>
    <row r="6" spans="1:4" x14ac:dyDescent="0.3">
      <c r="A6" s="43" t="s">
        <v>49</v>
      </c>
      <c r="B6" s="16"/>
      <c r="C6" s="29">
        <v>38</v>
      </c>
    </row>
    <row r="7" spans="1:4" x14ac:dyDescent="0.3">
      <c r="A7" s="43" t="s">
        <v>50</v>
      </c>
      <c r="B7" s="16"/>
      <c r="C7" s="28">
        <v>4600000</v>
      </c>
      <c r="D7" s="82"/>
    </row>
    <row r="8" spans="1:4" x14ac:dyDescent="0.3">
      <c r="A8" s="37"/>
      <c r="B8" s="16"/>
      <c r="C8" s="27"/>
    </row>
    <row r="9" spans="1:4" x14ac:dyDescent="0.3">
      <c r="A9" s="45" t="s">
        <v>51</v>
      </c>
      <c r="B9" s="16"/>
      <c r="C9" s="27"/>
    </row>
    <row r="10" spans="1:4" x14ac:dyDescent="0.3">
      <c r="A10" s="43" t="s">
        <v>52</v>
      </c>
      <c r="B10" s="16"/>
      <c r="C10" s="30">
        <v>0.03</v>
      </c>
    </row>
    <row r="11" spans="1:4" x14ac:dyDescent="0.3">
      <c r="A11" s="43" t="s">
        <v>53</v>
      </c>
      <c r="B11" s="16"/>
      <c r="C11" s="30">
        <v>2.5000000000000001E-2</v>
      </c>
    </row>
    <row r="12" spans="1:4" x14ac:dyDescent="0.3">
      <c r="A12" s="37"/>
      <c r="B12" s="16"/>
      <c r="C12" s="27"/>
    </row>
    <row r="13" spans="1:4" x14ac:dyDescent="0.3">
      <c r="A13" s="45" t="s">
        <v>54</v>
      </c>
      <c r="B13" s="16"/>
      <c r="C13" s="27"/>
    </row>
    <row r="14" spans="1:4" x14ac:dyDescent="0.3">
      <c r="A14" s="43" t="s">
        <v>55</v>
      </c>
      <c r="B14" s="16"/>
      <c r="C14" s="30">
        <v>0.85</v>
      </c>
    </row>
    <row r="15" spans="1:4" x14ac:dyDescent="0.3">
      <c r="A15" s="43" t="s">
        <v>56</v>
      </c>
      <c r="B15" s="16"/>
      <c r="C15" s="30">
        <v>0.92</v>
      </c>
    </row>
    <row r="16" spans="1:4" x14ac:dyDescent="0.3">
      <c r="A16" s="37"/>
      <c r="B16" s="16"/>
      <c r="C16" s="27"/>
    </row>
    <row r="17" spans="1:12" x14ac:dyDescent="0.3">
      <c r="A17" s="45" t="s">
        <v>57</v>
      </c>
      <c r="B17" s="16"/>
      <c r="C17" s="27"/>
    </row>
    <row r="18" spans="1:12" x14ac:dyDescent="0.3">
      <c r="A18" s="43" t="s">
        <v>5</v>
      </c>
      <c r="B18" s="16"/>
      <c r="C18" s="30">
        <v>2.5000000000000001E-2</v>
      </c>
    </row>
    <row r="19" spans="1:12" x14ac:dyDescent="0.3">
      <c r="A19" s="37" t="s">
        <v>6</v>
      </c>
      <c r="B19" s="16"/>
      <c r="C19" s="30">
        <v>9.2999999999999999E-2</v>
      </c>
    </row>
    <row r="20" spans="1:12" x14ac:dyDescent="0.3">
      <c r="A20" s="43" t="s">
        <v>58</v>
      </c>
      <c r="B20" s="16"/>
      <c r="C20" s="30">
        <v>0.29599999999999999</v>
      </c>
    </row>
    <row r="21" spans="1:12" x14ac:dyDescent="0.3">
      <c r="A21" s="46" t="s">
        <v>59</v>
      </c>
      <c r="B21" s="31"/>
      <c r="C21" s="32">
        <v>0.18</v>
      </c>
    </row>
    <row r="22" spans="1:12" x14ac:dyDescent="0.3">
      <c r="A22" s="56"/>
      <c r="B22" s="57"/>
      <c r="C22" s="58"/>
    </row>
    <row r="24" spans="1:12" x14ac:dyDescent="0.3">
      <c r="A24" s="53" t="s">
        <v>81</v>
      </c>
      <c r="B24" s="33" t="s">
        <v>67</v>
      </c>
      <c r="C24" s="34" t="s">
        <v>68</v>
      </c>
      <c r="D24" s="33" t="s">
        <v>73</v>
      </c>
      <c r="E24" s="34" t="s">
        <v>74</v>
      </c>
      <c r="F24" s="33" t="s">
        <v>75</v>
      </c>
      <c r="G24" s="34" t="s">
        <v>76</v>
      </c>
      <c r="H24" s="33" t="s">
        <v>77</v>
      </c>
      <c r="I24" s="34" t="s">
        <v>78</v>
      </c>
      <c r="J24" s="33" t="s">
        <v>79</v>
      </c>
      <c r="K24" s="34" t="s">
        <v>80</v>
      </c>
      <c r="L24" s="35" t="s">
        <v>69</v>
      </c>
    </row>
    <row r="25" spans="1:12" x14ac:dyDescent="0.3">
      <c r="A25" s="36" t="s">
        <v>60</v>
      </c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9"/>
    </row>
    <row r="26" spans="1:12" x14ac:dyDescent="0.3">
      <c r="A26" s="37" t="s">
        <v>61</v>
      </c>
      <c r="B26" s="17"/>
      <c r="C26" s="20">
        <f>$C$6*$C$7*12</f>
        <v>2097600000</v>
      </c>
      <c r="D26" s="66">
        <f>C26*(1+$C$10)</f>
        <v>2160528000</v>
      </c>
      <c r="E26" s="66">
        <f t="shared" ref="E26:L26" si="0">D26*(1+$C$10)</f>
        <v>2225343840</v>
      </c>
      <c r="F26" s="66">
        <f t="shared" si="0"/>
        <v>2292104155.2000003</v>
      </c>
      <c r="G26" s="66">
        <f t="shared" si="0"/>
        <v>2360867279.8560004</v>
      </c>
      <c r="H26" s="66">
        <f t="shared" si="0"/>
        <v>2431693298.2516804</v>
      </c>
      <c r="I26" s="66">
        <f t="shared" si="0"/>
        <v>2504644097.1992307</v>
      </c>
      <c r="J26" s="66">
        <f t="shared" si="0"/>
        <v>2579783420.1152077</v>
      </c>
      <c r="K26" s="66">
        <f t="shared" si="0"/>
        <v>2657176922.7186642</v>
      </c>
      <c r="L26" s="68">
        <f t="shared" si="0"/>
        <v>2736892230.4002242</v>
      </c>
    </row>
    <row r="27" spans="1:12" x14ac:dyDescent="0.3">
      <c r="A27" s="37" t="s">
        <v>62</v>
      </c>
      <c r="B27" s="17"/>
      <c r="C27" s="20">
        <f>C26*(1-$C$14)</f>
        <v>314640000.00000006</v>
      </c>
      <c r="D27" s="20">
        <f>D26*(1-$C$15)</f>
        <v>172842239.99999991</v>
      </c>
      <c r="E27" s="20">
        <f t="shared" ref="E27:L27" si="1">E26*(1-$C$15)</f>
        <v>178027507.1999999</v>
      </c>
      <c r="F27" s="20">
        <f t="shared" si="1"/>
        <v>183368332.41599992</v>
      </c>
      <c r="G27" s="20">
        <f t="shared" si="1"/>
        <v>188869382.38847995</v>
      </c>
      <c r="H27" s="20">
        <f t="shared" si="1"/>
        <v>194535463.86013433</v>
      </c>
      <c r="I27" s="20">
        <f t="shared" si="1"/>
        <v>200371527.77593836</v>
      </c>
      <c r="J27" s="20">
        <f t="shared" si="1"/>
        <v>206382673.60921651</v>
      </c>
      <c r="K27" s="20">
        <f t="shared" si="1"/>
        <v>212574153.81749302</v>
      </c>
      <c r="L27" s="69">
        <f t="shared" si="1"/>
        <v>218951378.43201783</v>
      </c>
    </row>
    <row r="28" spans="1:12" x14ac:dyDescent="0.3">
      <c r="A28" s="38" t="s">
        <v>4</v>
      </c>
      <c r="B28" s="17"/>
      <c r="C28" s="20">
        <f>C26-C27</f>
        <v>1782960000</v>
      </c>
      <c r="D28" s="20">
        <f t="shared" ref="D28:L28" si="2">D26-D27</f>
        <v>1987685760</v>
      </c>
      <c r="E28" s="20">
        <f t="shared" si="2"/>
        <v>2047316332.8000002</v>
      </c>
      <c r="F28" s="20">
        <f t="shared" si="2"/>
        <v>2108735822.7840004</v>
      </c>
      <c r="G28" s="20">
        <f t="shared" si="2"/>
        <v>2171997897.4675207</v>
      </c>
      <c r="H28" s="20">
        <f t="shared" si="2"/>
        <v>2237157834.3915462</v>
      </c>
      <c r="I28" s="20">
        <f t="shared" si="2"/>
        <v>2304272569.4232922</v>
      </c>
      <c r="J28" s="20">
        <f t="shared" si="2"/>
        <v>2373400746.505991</v>
      </c>
      <c r="K28" s="20">
        <f t="shared" si="2"/>
        <v>2444602768.9011712</v>
      </c>
      <c r="L28" s="69">
        <f t="shared" si="2"/>
        <v>2517940851.9682064</v>
      </c>
    </row>
    <row r="29" spans="1:12" x14ac:dyDescent="0.3">
      <c r="A29" s="38" t="s">
        <v>63</v>
      </c>
      <c r="B29" s="17"/>
      <c r="C29" s="65"/>
      <c r="D29" s="65"/>
      <c r="E29" s="20"/>
      <c r="F29" s="20"/>
      <c r="G29" s="20"/>
      <c r="H29" s="20"/>
      <c r="I29" s="20"/>
      <c r="J29" s="20"/>
      <c r="K29" s="20"/>
      <c r="L29" s="69"/>
    </row>
    <row r="30" spans="1:12" x14ac:dyDescent="0.3">
      <c r="A30" s="37" t="s">
        <v>5</v>
      </c>
      <c r="B30" s="17"/>
      <c r="C30" s="20">
        <f>-C28*$C$18</f>
        <v>-44574000</v>
      </c>
      <c r="D30" s="20">
        <f t="shared" ref="D30:L30" si="3">-D28*$C$18</f>
        <v>-49692144</v>
      </c>
      <c r="E30" s="20">
        <f t="shared" si="3"/>
        <v>-51182908.320000008</v>
      </c>
      <c r="F30" s="20">
        <f t="shared" si="3"/>
        <v>-52718395.569600016</v>
      </c>
      <c r="G30" s="20">
        <f t="shared" si="3"/>
        <v>-54299947.436688021</v>
      </c>
      <c r="H30" s="20">
        <f t="shared" si="3"/>
        <v>-55928945.859788656</v>
      </c>
      <c r="I30" s="20">
        <f t="shared" si="3"/>
        <v>-57606814.235582307</v>
      </c>
      <c r="J30" s="20">
        <f t="shared" si="3"/>
        <v>-59335018.662649781</v>
      </c>
      <c r="K30" s="20">
        <f t="shared" si="3"/>
        <v>-61115069.222529285</v>
      </c>
      <c r="L30" s="69">
        <f t="shared" si="3"/>
        <v>-62948521.299205162</v>
      </c>
    </row>
    <row r="31" spans="1:12" x14ac:dyDescent="0.3">
      <c r="A31" s="37" t="s">
        <v>6</v>
      </c>
      <c r="B31" s="17"/>
      <c r="C31" s="66">
        <f>-C28*$C$19</f>
        <v>-165815280</v>
      </c>
      <c r="D31" s="66">
        <f t="shared" ref="D31:L31" si="4">-D28*$C$19</f>
        <v>-184854775.68000001</v>
      </c>
      <c r="E31" s="66">
        <f t="shared" si="4"/>
        <v>-190400418.95040002</v>
      </c>
      <c r="F31" s="66">
        <f t="shared" si="4"/>
        <v>-196112431.51891205</v>
      </c>
      <c r="G31" s="66">
        <f t="shared" si="4"/>
        <v>-201995804.46447942</v>
      </c>
      <c r="H31" s="66">
        <f t="shared" si="4"/>
        <v>-208055678.5984138</v>
      </c>
      <c r="I31" s="66">
        <f t="shared" si="4"/>
        <v>-214297348.95636618</v>
      </c>
      <c r="J31" s="66">
        <f t="shared" si="4"/>
        <v>-220726269.42505717</v>
      </c>
      <c r="K31" s="66">
        <f t="shared" si="4"/>
        <v>-227348057.50780892</v>
      </c>
      <c r="L31" s="68">
        <f t="shared" si="4"/>
        <v>-234168499.23304319</v>
      </c>
    </row>
    <row r="32" spans="1:12" x14ac:dyDescent="0.3">
      <c r="A32" s="38" t="s">
        <v>7</v>
      </c>
      <c r="B32" s="17"/>
      <c r="C32" s="66">
        <f>SUM(C28:C31)</f>
        <v>1572570720</v>
      </c>
      <c r="D32" s="66">
        <f t="shared" ref="D32:L32" si="5">SUM(D28:D31)</f>
        <v>1753138840.3199999</v>
      </c>
      <c r="E32" s="66">
        <f t="shared" si="5"/>
        <v>1805733005.5296001</v>
      </c>
      <c r="F32" s="66">
        <f t="shared" si="5"/>
        <v>1859904995.6954882</v>
      </c>
      <c r="G32" s="66">
        <f t="shared" si="5"/>
        <v>1915702145.5663533</v>
      </c>
      <c r="H32" s="66">
        <f t="shared" si="5"/>
        <v>1973173209.9333436</v>
      </c>
      <c r="I32" s="66">
        <f t="shared" si="5"/>
        <v>2032368406.2313437</v>
      </c>
      <c r="J32" s="66">
        <f t="shared" si="5"/>
        <v>2093339458.4182842</v>
      </c>
      <c r="K32" s="66">
        <f t="shared" si="5"/>
        <v>2156139642.1708326</v>
      </c>
      <c r="L32" s="68">
        <f t="shared" si="5"/>
        <v>2220823831.4359579</v>
      </c>
    </row>
    <row r="33" spans="1:12" x14ac:dyDescent="0.3">
      <c r="A33" s="37" t="s">
        <v>64</v>
      </c>
      <c r="B33" s="17"/>
      <c r="C33" s="20">
        <f>-C28*$C$20</f>
        <v>-527756160</v>
      </c>
      <c r="D33" s="20">
        <f>C33*(1+$C$11)</f>
        <v>-540950064</v>
      </c>
      <c r="E33" s="20">
        <f t="shared" ref="E33:L33" si="6">D33*(1+$C$11)</f>
        <v>-554473815.5999999</v>
      </c>
      <c r="F33" s="20">
        <f t="shared" si="6"/>
        <v>-568335660.98999989</v>
      </c>
      <c r="G33" s="20">
        <f t="shared" si="6"/>
        <v>-582544052.51474988</v>
      </c>
      <c r="H33" s="20">
        <f t="shared" si="6"/>
        <v>-597107653.8276186</v>
      </c>
      <c r="I33" s="20">
        <f t="shared" si="6"/>
        <v>-612035345.17330897</v>
      </c>
      <c r="J33" s="20">
        <f t="shared" si="6"/>
        <v>-627336228.80264163</v>
      </c>
      <c r="K33" s="20">
        <f t="shared" si="6"/>
        <v>-643019634.52270758</v>
      </c>
      <c r="L33" s="20">
        <f t="shared" si="6"/>
        <v>-659095125.38577521</v>
      </c>
    </row>
    <row r="34" spans="1:12" s="64" customFormat="1" ht="14.4" customHeight="1" x14ac:dyDescent="0.3">
      <c r="A34" s="38" t="s">
        <v>65</v>
      </c>
      <c r="B34" s="18"/>
      <c r="C34" s="65">
        <f>SUM(C32:C33)</f>
        <v>1044814560</v>
      </c>
      <c r="D34" s="70">
        <f>SUM(D32:D33)</f>
        <v>1212188776.3199999</v>
      </c>
      <c r="E34" s="70">
        <f t="shared" ref="E34:L34" si="7">SUM(E32:E33)</f>
        <v>1251259189.9296002</v>
      </c>
      <c r="F34" s="70">
        <f t="shared" si="7"/>
        <v>1291569334.7054882</v>
      </c>
      <c r="G34" s="70">
        <f t="shared" si="7"/>
        <v>1333158093.0516033</v>
      </c>
      <c r="H34" s="70">
        <f t="shared" si="7"/>
        <v>1376065556.105725</v>
      </c>
      <c r="I34" s="70">
        <f t="shared" si="7"/>
        <v>1420333061.0580349</v>
      </c>
      <c r="J34" s="70">
        <f t="shared" si="7"/>
        <v>1466003229.6156425</v>
      </c>
      <c r="K34" s="70">
        <f t="shared" si="7"/>
        <v>1513120007.6481252</v>
      </c>
      <c r="L34" s="71">
        <f t="shared" si="7"/>
        <v>1561728706.0501828</v>
      </c>
    </row>
    <row r="35" spans="1:12" x14ac:dyDescent="0.3">
      <c r="A35" s="37" t="s">
        <v>10</v>
      </c>
      <c r="B35" s="17"/>
      <c r="C35" s="20">
        <f>-C34*$C$21</f>
        <v>-188066620.79999998</v>
      </c>
      <c r="D35" s="20">
        <f t="shared" ref="D35:L35" si="8">-D34*$C$21</f>
        <v>-218193979.73759997</v>
      </c>
      <c r="E35" s="20">
        <f t="shared" si="8"/>
        <v>-225226654.18732804</v>
      </c>
      <c r="F35" s="20">
        <f t="shared" si="8"/>
        <v>-232482480.24698788</v>
      </c>
      <c r="G35" s="20">
        <f t="shared" si="8"/>
        <v>-239968456.74928859</v>
      </c>
      <c r="H35" s="20">
        <f t="shared" si="8"/>
        <v>-247691800.09903049</v>
      </c>
      <c r="I35" s="20">
        <f t="shared" si="8"/>
        <v>-255659950.99044627</v>
      </c>
      <c r="J35" s="20">
        <f t="shared" si="8"/>
        <v>-263880581.33081564</v>
      </c>
      <c r="K35" s="20">
        <f t="shared" si="8"/>
        <v>-272361601.37666249</v>
      </c>
      <c r="L35" s="69">
        <f t="shared" si="8"/>
        <v>-281111167.08903289</v>
      </c>
    </row>
    <row r="36" spans="1:12" x14ac:dyDescent="0.3">
      <c r="A36" s="38" t="s">
        <v>66</v>
      </c>
      <c r="B36" s="17"/>
      <c r="C36" s="20">
        <f>SUM(C34:C35)</f>
        <v>856747939.20000005</v>
      </c>
      <c r="D36" s="20">
        <f t="shared" ref="D36:L36" si="9">SUM(D34:D35)</f>
        <v>993994796.58239996</v>
      </c>
      <c r="E36" s="20">
        <f t="shared" si="9"/>
        <v>1026032535.7422721</v>
      </c>
      <c r="F36" s="20">
        <f t="shared" si="9"/>
        <v>1059086854.4585004</v>
      </c>
      <c r="G36" s="20">
        <f t="shared" si="9"/>
        <v>1093189636.3023148</v>
      </c>
      <c r="H36" s="20">
        <f t="shared" si="9"/>
        <v>1128373756.0066946</v>
      </c>
      <c r="I36" s="20">
        <f t="shared" si="9"/>
        <v>1164673110.0675886</v>
      </c>
      <c r="J36" s="20">
        <f t="shared" si="9"/>
        <v>1202122648.284827</v>
      </c>
      <c r="K36" s="20">
        <f t="shared" si="9"/>
        <v>1240758406.2714627</v>
      </c>
      <c r="L36" s="69">
        <f t="shared" si="9"/>
        <v>1280617538.9611499</v>
      </c>
    </row>
    <row r="37" spans="1:12" x14ac:dyDescent="0.3">
      <c r="A37" s="39" t="s">
        <v>42</v>
      </c>
      <c r="B37" s="21">
        <f>-$C$3</f>
        <v>-7700000000</v>
      </c>
      <c r="C37" s="20">
        <f>C36</f>
        <v>856747939.20000005</v>
      </c>
      <c r="D37" s="20">
        <f t="shared" ref="D37:L37" si="10">D36</f>
        <v>993994796.58239996</v>
      </c>
      <c r="E37" s="20">
        <f t="shared" si="10"/>
        <v>1026032535.7422721</v>
      </c>
      <c r="F37" s="20">
        <f t="shared" si="10"/>
        <v>1059086854.4585004</v>
      </c>
      <c r="G37" s="20">
        <f t="shared" si="10"/>
        <v>1093189636.3023148</v>
      </c>
      <c r="H37" s="20">
        <f t="shared" si="10"/>
        <v>1128373756.0066946</v>
      </c>
      <c r="I37" s="20">
        <f t="shared" si="10"/>
        <v>1164673110.0675886</v>
      </c>
      <c r="J37" s="20">
        <f t="shared" si="10"/>
        <v>1202122648.284827</v>
      </c>
      <c r="K37" s="20">
        <f t="shared" si="10"/>
        <v>1240758406.2714627</v>
      </c>
      <c r="L37" s="69">
        <f t="shared" si="10"/>
        <v>1280617538.9611499</v>
      </c>
    </row>
    <row r="38" spans="1:12" x14ac:dyDescent="0.3">
      <c r="A38" s="40" t="s">
        <v>82</v>
      </c>
      <c r="B38" s="74">
        <f>B37</f>
        <v>-7700000000</v>
      </c>
      <c r="C38" s="67">
        <f>B38+C37</f>
        <v>-6843252060.8000002</v>
      </c>
      <c r="D38" s="67">
        <f t="shared" ref="D38:L38" si="11">C38+D37</f>
        <v>-5849257264.2175999</v>
      </c>
      <c r="E38" s="67">
        <f t="shared" si="11"/>
        <v>-4823224728.4753275</v>
      </c>
      <c r="F38" s="67">
        <f t="shared" si="11"/>
        <v>-3764137874.0168271</v>
      </c>
      <c r="G38" s="67">
        <f t="shared" si="11"/>
        <v>-2670948237.7145123</v>
      </c>
      <c r="H38" s="67">
        <f t="shared" si="11"/>
        <v>-1542574481.7078178</v>
      </c>
      <c r="I38" s="72">
        <f t="shared" si="11"/>
        <v>-377901371.64022923</v>
      </c>
      <c r="J38" s="67">
        <f t="shared" si="11"/>
        <v>824221276.64459777</v>
      </c>
      <c r="K38" s="67">
        <f t="shared" si="11"/>
        <v>2064979682.9160604</v>
      </c>
      <c r="L38" s="73">
        <f t="shared" si="11"/>
        <v>3345597221.8772106</v>
      </c>
    </row>
    <row r="39" spans="1:12" x14ac:dyDescent="0.3">
      <c r="A39" s="59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2" x14ac:dyDescent="0.3">
      <c r="A40" s="52" t="s">
        <v>83</v>
      </c>
      <c r="B40" s="54">
        <f>-$C$3</f>
        <v>-7700000000</v>
      </c>
      <c r="C40" s="62"/>
      <c r="J40" s="277" t="s">
        <v>94</v>
      </c>
      <c r="K40" s="278"/>
    </row>
    <row r="41" spans="1:12" ht="28.8" x14ac:dyDescent="0.3">
      <c r="A41" s="47" t="s">
        <v>68</v>
      </c>
      <c r="B41" s="22">
        <f>C37</f>
        <v>856747939.20000005</v>
      </c>
      <c r="C41" s="56"/>
      <c r="J41" s="76" t="s">
        <v>95</v>
      </c>
      <c r="K41" s="86">
        <f>-((D30+D31+D33+D35)/12)/C7</f>
        <v>18.001647888000001</v>
      </c>
    </row>
    <row r="42" spans="1:12" ht="28.8" x14ac:dyDescent="0.3">
      <c r="A42" s="47" t="s">
        <v>73</v>
      </c>
      <c r="B42" s="22">
        <f>D$37</f>
        <v>993994796.58239996</v>
      </c>
      <c r="C42" s="57"/>
      <c r="J42" s="77" t="s">
        <v>96</v>
      </c>
      <c r="K42" s="79">
        <f>K41/C6</f>
        <v>0.47372757600000004</v>
      </c>
    </row>
    <row r="43" spans="1:12" x14ac:dyDescent="0.3">
      <c r="A43" s="47" t="s">
        <v>74</v>
      </c>
      <c r="B43" s="22">
        <f>E$37</f>
        <v>1026032535.7422721</v>
      </c>
      <c r="C43" s="57"/>
      <c r="J43" s="87" t="s">
        <v>107</v>
      </c>
    </row>
    <row r="44" spans="1:12" x14ac:dyDescent="0.3">
      <c r="A44" s="47" t="s">
        <v>75</v>
      </c>
      <c r="B44" s="22">
        <f>F$37</f>
        <v>1059086854.4585004</v>
      </c>
      <c r="C44" s="57"/>
    </row>
    <row r="45" spans="1:12" x14ac:dyDescent="0.3">
      <c r="A45" s="47" t="s">
        <v>76</v>
      </c>
      <c r="B45" s="22">
        <f>G$37</f>
        <v>1093189636.3023148</v>
      </c>
      <c r="C45" s="57"/>
    </row>
    <row r="46" spans="1:12" x14ac:dyDescent="0.3">
      <c r="A46" s="47" t="s">
        <v>77</v>
      </c>
      <c r="B46" s="22">
        <f>H$37</f>
        <v>1128373756.0066946</v>
      </c>
      <c r="C46" s="57"/>
    </row>
    <row r="47" spans="1:12" x14ac:dyDescent="0.3">
      <c r="A47" s="47" t="s">
        <v>78</v>
      </c>
      <c r="B47" s="22">
        <f>I$37</f>
        <v>1164673110.0675886</v>
      </c>
      <c r="C47" s="57"/>
    </row>
    <row r="48" spans="1:12" x14ac:dyDescent="0.3">
      <c r="A48" s="47" t="s">
        <v>79</v>
      </c>
      <c r="B48" s="22">
        <f>J$37</f>
        <v>1202122648.284827</v>
      </c>
      <c r="C48" s="57"/>
    </row>
    <row r="49" spans="1:3" x14ac:dyDescent="0.3">
      <c r="A49" s="47" t="s">
        <v>80</v>
      </c>
      <c r="B49" s="22">
        <f>K$37</f>
        <v>1240758406.2714627</v>
      </c>
      <c r="C49" s="57"/>
    </row>
    <row r="50" spans="1:3" x14ac:dyDescent="0.3">
      <c r="A50" s="48" t="s">
        <v>69</v>
      </c>
      <c r="B50" s="23">
        <f>L$37</f>
        <v>1280617538.9611499</v>
      </c>
      <c r="C50" s="57"/>
    </row>
    <row r="51" spans="1:3" x14ac:dyDescent="0.3">
      <c r="A51" s="15"/>
      <c r="B51" s="15"/>
      <c r="C51" s="57"/>
    </row>
    <row r="52" spans="1:3" x14ac:dyDescent="0.3">
      <c r="A52" s="270" t="s">
        <v>70</v>
      </c>
      <c r="B52" s="271"/>
      <c r="C52" s="57"/>
    </row>
    <row r="53" spans="1:3" x14ac:dyDescent="0.3">
      <c r="A53" s="49" t="s">
        <v>27</v>
      </c>
      <c r="B53" s="24">
        <f>IRR(B40:B50)</f>
        <v>6.7257102082223685E-2</v>
      </c>
      <c r="C53" s="58"/>
    </row>
    <row r="54" spans="1:3" x14ac:dyDescent="0.3">
      <c r="A54" s="50" t="s">
        <v>71</v>
      </c>
      <c r="B54" s="25">
        <f>D36/$C$3</f>
        <v>0.12909023332238961</v>
      </c>
      <c r="C54" s="58"/>
    </row>
    <row r="55" spans="1:3" x14ac:dyDescent="0.3">
      <c r="A55" s="51" t="s">
        <v>72</v>
      </c>
      <c r="B55" s="26" cm="1">
        <f t="array" ref="B55">(COUNTIF(B38:L38,"&lt;0")-1) + (-INDEX(B38:L38, COUNTIF(B38:L38,"&lt;0")) / INDEX(B37:L37, COUNTIF(B38:L38,"&lt;0")+1))</f>
        <v>7.3143617435204416</v>
      </c>
      <c r="C55" s="63"/>
    </row>
    <row r="65" spans="1:16" x14ac:dyDescent="0.3">
      <c r="A65" s="268" t="s">
        <v>97</v>
      </c>
      <c r="B65" s="269"/>
      <c r="H65" s="272" t="s">
        <v>89</v>
      </c>
      <c r="I65" s="273"/>
      <c r="J65" s="272" t="s">
        <v>99</v>
      </c>
      <c r="K65" s="273"/>
      <c r="M65" s="276"/>
      <c r="N65" s="276"/>
      <c r="O65" s="276"/>
      <c r="P65" s="276"/>
    </row>
    <row r="66" spans="1:16" ht="27.6" customHeight="1" x14ac:dyDescent="0.3">
      <c r="A66" s="90" t="s">
        <v>85</v>
      </c>
      <c r="B66" s="91">
        <f>ABS(E27)</f>
        <v>178027507.1999999</v>
      </c>
      <c r="H66" s="80" t="s">
        <v>90</v>
      </c>
      <c r="I66" s="81">
        <v>8.6977327173762609E-2</v>
      </c>
      <c r="J66" s="274" t="s">
        <v>104</v>
      </c>
      <c r="K66" s="275"/>
      <c r="M66" s="75"/>
      <c r="N66" s="83"/>
      <c r="O66" s="279"/>
      <c r="P66" s="279"/>
    </row>
    <row r="67" spans="1:16" ht="28.8" x14ac:dyDescent="0.3">
      <c r="A67" s="92" t="s">
        <v>86</v>
      </c>
      <c r="B67" s="93">
        <f>ABS((E30)+ABS((E31)))</f>
        <v>139217510.6304</v>
      </c>
      <c r="H67" s="78" t="s">
        <v>92</v>
      </c>
      <c r="I67" s="81">
        <v>7.19463415673669E-2</v>
      </c>
      <c r="J67" s="274" t="s">
        <v>98</v>
      </c>
      <c r="K67" s="275"/>
    </row>
    <row r="68" spans="1:16" ht="32.4" customHeight="1" x14ac:dyDescent="0.3">
      <c r="A68" s="92" t="s">
        <v>87</v>
      </c>
      <c r="B68" s="93">
        <f>ABS(E33)</f>
        <v>554473815.5999999</v>
      </c>
      <c r="H68" s="78" t="s">
        <v>101</v>
      </c>
      <c r="I68" s="81">
        <v>-2.8129042561216067E-2</v>
      </c>
      <c r="J68" s="274" t="s">
        <v>102</v>
      </c>
      <c r="K68" s="275"/>
    </row>
    <row r="69" spans="1:16" ht="31.2" customHeight="1" x14ac:dyDescent="0.3">
      <c r="A69" s="94" t="s">
        <v>88</v>
      </c>
      <c r="B69" s="95">
        <f>ABS(E35)</f>
        <v>225226654.18732804</v>
      </c>
      <c r="H69" s="78" t="s">
        <v>91</v>
      </c>
      <c r="I69" s="81">
        <v>6.7257102082223685E-2</v>
      </c>
      <c r="J69" s="274" t="s">
        <v>103</v>
      </c>
      <c r="K69" s="275"/>
    </row>
    <row r="70" spans="1:16" ht="43.2" customHeight="1" x14ac:dyDescent="0.3">
      <c r="H70" s="78" t="s">
        <v>93</v>
      </c>
      <c r="I70" s="81">
        <v>7.766549609964879E-2</v>
      </c>
      <c r="J70" s="274" t="s">
        <v>100</v>
      </c>
      <c r="K70" s="275"/>
    </row>
    <row r="71" spans="1:16" ht="43.2" customHeight="1" x14ac:dyDescent="0.3">
      <c r="H71" s="78" t="s">
        <v>106</v>
      </c>
      <c r="I71" s="81">
        <v>7.0539218565478734E-2</v>
      </c>
      <c r="J71" s="274" t="s">
        <v>105</v>
      </c>
      <c r="K71" s="275"/>
    </row>
  </sheetData>
  <mergeCells count="14">
    <mergeCell ref="J70:K70"/>
    <mergeCell ref="J71:K71"/>
    <mergeCell ref="O65:P65"/>
    <mergeCell ref="J66:K66"/>
    <mergeCell ref="O66:P66"/>
    <mergeCell ref="J67:K67"/>
    <mergeCell ref="J68:K68"/>
    <mergeCell ref="J69:K69"/>
    <mergeCell ref="M65:N65"/>
    <mergeCell ref="J40:K40"/>
    <mergeCell ref="A52:B52"/>
    <mergeCell ref="A65:B65"/>
    <mergeCell ref="H65:I65"/>
    <mergeCell ref="J65:K65"/>
  </mergeCells>
  <conditionalFormatting sqref="I66:I7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{5D2323D8-0826-4928-A80C-008F0B5EE3EB}</x14:id>
        </ext>
      </extLst>
    </cfRule>
  </conditionalFormatting>
  <conditionalFormatting sqref="N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{EA68F512-53E2-4560-B7EE-739CDF356D96}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2323D8-0826-4928-A80C-008F0B5EE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I66:I71</xm:sqref>
        </x14:conditionalFormatting>
        <x14:conditionalFormatting xmlns:xm="http://schemas.microsoft.com/office/excel/2006/main">
          <x14:cfRule type="dataBar" id="{EA68F512-53E2-4560-B7EE-739CDF356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D8B3-4F14-49EA-B5A7-377019E9C7BD}">
  <sheetPr>
    <pageSetUpPr autoPageBreaks="0"/>
  </sheetPr>
  <dimension ref="A1:P71"/>
  <sheetViews>
    <sheetView zoomScale="94" zoomScaleNormal="70" workbookViewId="0">
      <selection activeCell="C6" sqref="C6"/>
    </sheetView>
  </sheetViews>
  <sheetFormatPr defaultColWidth="8.88671875" defaultRowHeight="14.4" x14ac:dyDescent="0.3"/>
  <cols>
    <col min="1" max="1" width="27.109375" style="55" customWidth="1"/>
    <col min="2" max="2" width="17.21875" style="55" bestFit="1" customWidth="1"/>
    <col min="3" max="7" width="17.88671875" style="55" bestFit="1" customWidth="1"/>
    <col min="8" max="8" width="21.5546875" style="55" customWidth="1"/>
    <col min="9" max="12" width="17.21875" style="55" bestFit="1" customWidth="1"/>
    <col min="13" max="13" width="12.88671875" style="55" bestFit="1" customWidth="1"/>
    <col min="14" max="14" width="6.109375" style="55" bestFit="1" customWidth="1"/>
    <col min="15" max="16384" width="8.88671875" style="55"/>
  </cols>
  <sheetData>
    <row r="1" spans="1:4" x14ac:dyDescent="0.3">
      <c r="A1" s="88" t="s">
        <v>45</v>
      </c>
      <c r="B1" s="41"/>
      <c r="C1" s="89" t="s">
        <v>84</v>
      </c>
    </row>
    <row r="2" spans="1:4" x14ac:dyDescent="0.3">
      <c r="A2" s="42" t="s">
        <v>46</v>
      </c>
      <c r="B2" s="16"/>
      <c r="C2" s="27"/>
    </row>
    <row r="3" spans="1:4" x14ac:dyDescent="0.3">
      <c r="A3" s="43" t="s">
        <v>47</v>
      </c>
      <c r="B3" s="16"/>
      <c r="C3" s="28">
        <v>7000000000</v>
      </c>
    </row>
    <row r="4" spans="1:4" x14ac:dyDescent="0.3">
      <c r="A4" s="37"/>
      <c r="B4" s="16"/>
      <c r="C4" s="27"/>
    </row>
    <row r="5" spans="1:4" x14ac:dyDescent="0.3">
      <c r="A5" s="44" t="s">
        <v>48</v>
      </c>
      <c r="B5" s="16"/>
      <c r="C5" s="27"/>
    </row>
    <row r="6" spans="1:4" x14ac:dyDescent="0.3">
      <c r="A6" s="43" t="s">
        <v>49</v>
      </c>
      <c r="B6" s="16"/>
      <c r="C6" s="29">
        <v>38</v>
      </c>
    </row>
    <row r="7" spans="1:4" x14ac:dyDescent="0.3">
      <c r="A7" s="43" t="s">
        <v>50</v>
      </c>
      <c r="B7" s="16"/>
      <c r="C7" s="28">
        <v>4400000</v>
      </c>
      <c r="D7" s="82"/>
    </row>
    <row r="8" spans="1:4" x14ac:dyDescent="0.3">
      <c r="A8" s="37"/>
      <c r="B8" s="16"/>
      <c r="C8" s="27"/>
    </row>
    <row r="9" spans="1:4" x14ac:dyDescent="0.3">
      <c r="A9" s="45" t="s">
        <v>51</v>
      </c>
      <c r="B9" s="16"/>
      <c r="C9" s="27"/>
    </row>
    <row r="10" spans="1:4" x14ac:dyDescent="0.3">
      <c r="A10" s="43" t="s">
        <v>52</v>
      </c>
      <c r="B10" s="16"/>
      <c r="C10" s="30">
        <v>0.03</v>
      </c>
    </row>
    <row r="11" spans="1:4" x14ac:dyDescent="0.3">
      <c r="A11" s="43" t="s">
        <v>53</v>
      </c>
      <c r="B11" s="16"/>
      <c r="C11" s="30">
        <v>2.5000000000000001E-2</v>
      </c>
    </row>
    <row r="12" spans="1:4" x14ac:dyDescent="0.3">
      <c r="A12" s="37"/>
      <c r="B12" s="16"/>
      <c r="C12" s="27"/>
    </row>
    <row r="13" spans="1:4" x14ac:dyDescent="0.3">
      <c r="A13" s="45" t="s">
        <v>54</v>
      </c>
      <c r="B13" s="16"/>
      <c r="C13" s="27"/>
    </row>
    <row r="14" spans="1:4" x14ac:dyDescent="0.3">
      <c r="A14" s="43" t="s">
        <v>55</v>
      </c>
      <c r="B14" s="16"/>
      <c r="C14" s="30">
        <v>0.85</v>
      </c>
    </row>
    <row r="15" spans="1:4" x14ac:dyDescent="0.3">
      <c r="A15" s="43" t="s">
        <v>56</v>
      </c>
      <c r="B15" s="16"/>
      <c r="C15" s="30">
        <v>0.92</v>
      </c>
    </row>
    <row r="16" spans="1:4" x14ac:dyDescent="0.3">
      <c r="A16" s="37"/>
      <c r="B16" s="16"/>
      <c r="C16" s="27"/>
    </row>
    <row r="17" spans="1:12" x14ac:dyDescent="0.3">
      <c r="A17" s="45" t="s">
        <v>57</v>
      </c>
      <c r="B17" s="16"/>
      <c r="C17" s="27"/>
    </row>
    <row r="18" spans="1:12" x14ac:dyDescent="0.3">
      <c r="A18" s="43" t="s">
        <v>5</v>
      </c>
      <c r="B18" s="16"/>
      <c r="C18" s="30">
        <v>2.5000000000000001E-2</v>
      </c>
    </row>
    <row r="19" spans="1:12" x14ac:dyDescent="0.3">
      <c r="A19" s="37" t="s">
        <v>6</v>
      </c>
      <c r="B19" s="16"/>
      <c r="C19" s="30">
        <v>9.2999999999999999E-2</v>
      </c>
    </row>
    <row r="20" spans="1:12" x14ac:dyDescent="0.3">
      <c r="A20" s="43" t="s">
        <v>58</v>
      </c>
      <c r="B20" s="16"/>
      <c r="C20" s="30">
        <v>0.29599999999999999</v>
      </c>
    </row>
    <row r="21" spans="1:12" x14ac:dyDescent="0.3">
      <c r="A21" s="46" t="s">
        <v>59</v>
      </c>
      <c r="B21" s="31"/>
      <c r="C21" s="32">
        <v>0.18</v>
      </c>
    </row>
    <row r="22" spans="1:12" x14ac:dyDescent="0.3">
      <c r="A22" s="56"/>
      <c r="B22" s="57"/>
      <c r="C22" s="58"/>
    </row>
    <row r="24" spans="1:12" x14ac:dyDescent="0.3">
      <c r="A24" s="53" t="s">
        <v>81</v>
      </c>
      <c r="B24" s="33" t="s">
        <v>67</v>
      </c>
      <c r="C24" s="34" t="s">
        <v>68</v>
      </c>
      <c r="D24" s="33" t="s">
        <v>73</v>
      </c>
      <c r="E24" s="34" t="s">
        <v>74</v>
      </c>
      <c r="F24" s="33" t="s">
        <v>75</v>
      </c>
      <c r="G24" s="34" t="s">
        <v>76</v>
      </c>
      <c r="H24" s="33" t="s">
        <v>77</v>
      </c>
      <c r="I24" s="34" t="s">
        <v>78</v>
      </c>
      <c r="J24" s="33" t="s">
        <v>79</v>
      </c>
      <c r="K24" s="34" t="s">
        <v>80</v>
      </c>
      <c r="L24" s="35" t="s">
        <v>69</v>
      </c>
    </row>
    <row r="25" spans="1:12" x14ac:dyDescent="0.3">
      <c r="A25" s="36" t="s">
        <v>60</v>
      </c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9"/>
    </row>
    <row r="26" spans="1:12" x14ac:dyDescent="0.3">
      <c r="A26" s="37" t="s">
        <v>61</v>
      </c>
      <c r="B26" s="17"/>
      <c r="C26" s="20">
        <f>$C$6*$C$7*12</f>
        <v>2006400000</v>
      </c>
      <c r="D26" s="66">
        <f>C26*(1+$C$10)</f>
        <v>2066592000</v>
      </c>
      <c r="E26" s="66">
        <f t="shared" ref="E26:L26" si="0">D26*(1+$C$10)</f>
        <v>2128589760</v>
      </c>
      <c r="F26" s="66">
        <f t="shared" si="0"/>
        <v>2192447452.8000002</v>
      </c>
      <c r="G26" s="66">
        <f t="shared" si="0"/>
        <v>2258220876.3840003</v>
      </c>
      <c r="H26" s="66">
        <f t="shared" si="0"/>
        <v>2325967502.6755204</v>
      </c>
      <c r="I26" s="66">
        <f t="shared" si="0"/>
        <v>2395746527.7557859</v>
      </c>
      <c r="J26" s="66">
        <f t="shared" si="0"/>
        <v>2467618923.5884595</v>
      </c>
      <c r="K26" s="66">
        <f t="shared" si="0"/>
        <v>2541647491.2961135</v>
      </c>
      <c r="L26" s="68">
        <f t="shared" si="0"/>
        <v>2617896916.034997</v>
      </c>
    </row>
    <row r="27" spans="1:12" x14ac:dyDescent="0.3">
      <c r="A27" s="37" t="s">
        <v>62</v>
      </c>
      <c r="B27" s="17"/>
      <c r="C27" s="20">
        <f>C26*(1-$C$14)</f>
        <v>300960000.00000006</v>
      </c>
      <c r="D27" s="20">
        <f>D26*(1-$C$15)</f>
        <v>165327359.99999991</v>
      </c>
      <c r="E27" s="20">
        <f t="shared" ref="E27:L27" si="1">E26*(1-$C$15)</f>
        <v>170287180.79999992</v>
      </c>
      <c r="F27" s="20">
        <f t="shared" si="1"/>
        <v>175395796.22399992</v>
      </c>
      <c r="G27" s="20">
        <f t="shared" si="1"/>
        <v>180657670.11071992</v>
      </c>
      <c r="H27" s="20">
        <f t="shared" si="1"/>
        <v>186077400.21404153</v>
      </c>
      <c r="I27" s="20">
        <f t="shared" si="1"/>
        <v>191659722.22046277</v>
      </c>
      <c r="J27" s="20">
        <f t="shared" si="1"/>
        <v>197409513.88707665</v>
      </c>
      <c r="K27" s="20">
        <f t="shared" si="1"/>
        <v>203331799.30368897</v>
      </c>
      <c r="L27" s="69">
        <f t="shared" si="1"/>
        <v>209431753.28279966</v>
      </c>
    </row>
    <row r="28" spans="1:12" x14ac:dyDescent="0.3">
      <c r="A28" s="38" t="s">
        <v>4</v>
      </c>
      <c r="B28" s="17"/>
      <c r="C28" s="20">
        <f>C26-C27</f>
        <v>1705440000</v>
      </c>
      <c r="D28" s="20">
        <f t="shared" ref="D28:L28" si="2">D26-D27</f>
        <v>1901264640</v>
      </c>
      <c r="E28" s="20">
        <f t="shared" si="2"/>
        <v>1958302579.2</v>
      </c>
      <c r="F28" s="20">
        <f t="shared" si="2"/>
        <v>2017051656.5760002</v>
      </c>
      <c r="G28" s="20">
        <f t="shared" si="2"/>
        <v>2077563206.2732804</v>
      </c>
      <c r="H28" s="20">
        <f t="shared" si="2"/>
        <v>2139890102.4614789</v>
      </c>
      <c r="I28" s="20">
        <f t="shared" si="2"/>
        <v>2204086805.5353231</v>
      </c>
      <c r="J28" s="20">
        <f t="shared" si="2"/>
        <v>2270209409.7013826</v>
      </c>
      <c r="K28" s="20">
        <f t="shared" si="2"/>
        <v>2338315691.9924245</v>
      </c>
      <c r="L28" s="69">
        <f t="shared" si="2"/>
        <v>2408465162.7521973</v>
      </c>
    </row>
    <row r="29" spans="1:12" x14ac:dyDescent="0.3">
      <c r="A29" s="38" t="s">
        <v>63</v>
      </c>
      <c r="B29" s="17"/>
      <c r="C29" s="65"/>
      <c r="D29" s="65"/>
      <c r="E29" s="20"/>
      <c r="F29" s="20"/>
      <c r="G29" s="20"/>
      <c r="H29" s="20"/>
      <c r="I29" s="20"/>
      <c r="J29" s="20"/>
      <c r="K29" s="20"/>
      <c r="L29" s="69"/>
    </row>
    <row r="30" spans="1:12" x14ac:dyDescent="0.3">
      <c r="A30" s="37" t="s">
        <v>5</v>
      </c>
      <c r="B30" s="17"/>
      <c r="C30" s="20">
        <f>-C28*$C$18</f>
        <v>-42636000</v>
      </c>
      <c r="D30" s="20">
        <f t="shared" ref="D30:L30" si="3">-D28*$C$18</f>
        <v>-47531616</v>
      </c>
      <c r="E30" s="20">
        <f t="shared" si="3"/>
        <v>-48957564.480000004</v>
      </c>
      <c r="F30" s="20">
        <f t="shared" si="3"/>
        <v>-50426291.414400011</v>
      </c>
      <c r="G30" s="20">
        <f t="shared" si="3"/>
        <v>-51939080.15683201</v>
      </c>
      <c r="H30" s="20">
        <f t="shared" si="3"/>
        <v>-53497252.561536975</v>
      </c>
      <c r="I30" s="20">
        <f t="shared" si="3"/>
        <v>-55102170.138383083</v>
      </c>
      <c r="J30" s="20">
        <f t="shared" si="3"/>
        <v>-56755235.24253457</v>
      </c>
      <c r="K30" s="20">
        <f t="shared" si="3"/>
        <v>-58457892.299810618</v>
      </c>
      <c r="L30" s="69">
        <f t="shared" si="3"/>
        <v>-60211629.068804935</v>
      </c>
    </row>
    <row r="31" spans="1:12" x14ac:dyDescent="0.3">
      <c r="A31" s="37" t="s">
        <v>6</v>
      </c>
      <c r="B31" s="17"/>
      <c r="C31" s="66">
        <f>-C28*$C$19</f>
        <v>-158605920</v>
      </c>
      <c r="D31" s="66">
        <f t="shared" ref="D31:L31" si="4">-D28*$C$19</f>
        <v>-176817611.52000001</v>
      </c>
      <c r="E31" s="66">
        <f t="shared" si="4"/>
        <v>-182122139.86559999</v>
      </c>
      <c r="F31" s="66">
        <f t="shared" si="4"/>
        <v>-187585804.06156802</v>
      </c>
      <c r="G31" s="66">
        <f t="shared" si="4"/>
        <v>-193213378.18341509</v>
      </c>
      <c r="H31" s="66">
        <f t="shared" si="4"/>
        <v>-199009779.52891755</v>
      </c>
      <c r="I31" s="66">
        <f t="shared" si="4"/>
        <v>-204980072.91478506</v>
      </c>
      <c r="J31" s="66">
        <f t="shared" si="4"/>
        <v>-211129475.10222858</v>
      </c>
      <c r="K31" s="66">
        <f t="shared" si="4"/>
        <v>-217463359.35529548</v>
      </c>
      <c r="L31" s="68">
        <f t="shared" si="4"/>
        <v>-223987260.13595435</v>
      </c>
    </row>
    <row r="32" spans="1:12" x14ac:dyDescent="0.3">
      <c r="A32" s="38" t="s">
        <v>7</v>
      </c>
      <c r="B32" s="17"/>
      <c r="C32" s="66">
        <f>SUM(C28:C31)</f>
        <v>1504198080</v>
      </c>
      <c r="D32" s="66">
        <f t="shared" ref="D32:L32" si="5">SUM(D28:D31)</f>
        <v>1676915412.48</v>
      </c>
      <c r="E32" s="66">
        <f t="shared" si="5"/>
        <v>1727222874.8544002</v>
      </c>
      <c r="F32" s="66">
        <f t="shared" si="5"/>
        <v>1779039561.1000321</v>
      </c>
      <c r="G32" s="66">
        <f t="shared" si="5"/>
        <v>1832410747.9330332</v>
      </c>
      <c r="H32" s="66">
        <f t="shared" si="5"/>
        <v>1887383070.3710244</v>
      </c>
      <c r="I32" s="66">
        <f t="shared" si="5"/>
        <v>1944004562.4821551</v>
      </c>
      <c r="J32" s="66">
        <f t="shared" si="5"/>
        <v>2002324699.3566194</v>
      </c>
      <c r="K32" s="66">
        <f t="shared" si="5"/>
        <v>2062394440.3373187</v>
      </c>
      <c r="L32" s="68">
        <f t="shared" si="5"/>
        <v>2124266273.5474381</v>
      </c>
    </row>
    <row r="33" spans="1:12" x14ac:dyDescent="0.3">
      <c r="A33" s="37" t="s">
        <v>64</v>
      </c>
      <c r="B33" s="17"/>
      <c r="C33" s="20">
        <f>-C28*$C$20</f>
        <v>-504810240</v>
      </c>
      <c r="D33" s="20">
        <f>C33*(1+$C$11)</f>
        <v>-517430495.99999994</v>
      </c>
      <c r="E33" s="20">
        <f t="shared" ref="E33:L33" si="6">D33*(1+$C$11)</f>
        <v>-530366258.39999992</v>
      </c>
      <c r="F33" s="20">
        <f t="shared" si="6"/>
        <v>-543625414.8599999</v>
      </c>
      <c r="G33" s="20">
        <f t="shared" si="6"/>
        <v>-557216050.23149979</v>
      </c>
      <c r="H33" s="20">
        <f t="shared" si="6"/>
        <v>-571146451.48728728</v>
      </c>
      <c r="I33" s="20">
        <f t="shared" si="6"/>
        <v>-585425112.77446938</v>
      </c>
      <c r="J33" s="20">
        <f t="shared" si="6"/>
        <v>-600060740.59383106</v>
      </c>
      <c r="K33" s="20">
        <f t="shared" si="6"/>
        <v>-615062259.10867679</v>
      </c>
      <c r="L33" s="20">
        <f t="shared" si="6"/>
        <v>-630438815.58639371</v>
      </c>
    </row>
    <row r="34" spans="1:12" s="64" customFormat="1" ht="14.4" customHeight="1" x14ac:dyDescent="0.3">
      <c r="A34" s="38" t="s">
        <v>65</v>
      </c>
      <c r="B34" s="18"/>
      <c r="C34" s="65">
        <f>SUM(C32:C33)</f>
        <v>999387840</v>
      </c>
      <c r="D34" s="70">
        <f>SUM(D32:D33)</f>
        <v>1159484916.48</v>
      </c>
      <c r="E34" s="70">
        <f t="shared" ref="E34:L34" si="7">SUM(E32:E33)</f>
        <v>1196856616.4544003</v>
      </c>
      <c r="F34" s="70">
        <f t="shared" si="7"/>
        <v>1235414146.2400322</v>
      </c>
      <c r="G34" s="70">
        <f t="shared" si="7"/>
        <v>1275194697.7015333</v>
      </c>
      <c r="H34" s="70">
        <f t="shared" si="7"/>
        <v>1316236618.8837371</v>
      </c>
      <c r="I34" s="70">
        <f t="shared" si="7"/>
        <v>1358579449.7076857</v>
      </c>
      <c r="J34" s="70">
        <f t="shared" si="7"/>
        <v>1402263958.7627883</v>
      </c>
      <c r="K34" s="70">
        <f t="shared" si="7"/>
        <v>1447332181.228642</v>
      </c>
      <c r="L34" s="71">
        <f t="shared" si="7"/>
        <v>1493827457.9610443</v>
      </c>
    </row>
    <row r="35" spans="1:12" x14ac:dyDescent="0.3">
      <c r="A35" s="37" t="s">
        <v>10</v>
      </c>
      <c r="B35" s="17"/>
      <c r="C35" s="20">
        <f>-C34*$C$21</f>
        <v>-179889811.19999999</v>
      </c>
      <c r="D35" s="20">
        <f t="shared" ref="D35:L35" si="8">-D34*$C$21</f>
        <v>-208707284.9664</v>
      </c>
      <c r="E35" s="20">
        <f t="shared" si="8"/>
        <v>-215434190.96179205</v>
      </c>
      <c r="F35" s="20">
        <f t="shared" si="8"/>
        <v>-222374546.3232058</v>
      </c>
      <c r="G35" s="20">
        <f t="shared" si="8"/>
        <v>-229535045.58627599</v>
      </c>
      <c r="H35" s="20">
        <f t="shared" si="8"/>
        <v>-236922591.39907268</v>
      </c>
      <c r="I35" s="20">
        <f t="shared" si="8"/>
        <v>-244544300.9473834</v>
      </c>
      <c r="J35" s="20">
        <f t="shared" si="8"/>
        <v>-252407512.57730189</v>
      </c>
      <c r="K35" s="20">
        <f t="shared" si="8"/>
        <v>-260519792.62115556</v>
      </c>
      <c r="L35" s="69">
        <f t="shared" si="8"/>
        <v>-268888942.43298799</v>
      </c>
    </row>
    <row r="36" spans="1:12" x14ac:dyDescent="0.3">
      <c r="A36" s="38" t="s">
        <v>66</v>
      </c>
      <c r="B36" s="17"/>
      <c r="C36" s="20">
        <f>SUM(C34:C35)</f>
        <v>819498028.79999995</v>
      </c>
      <c r="D36" s="20">
        <f t="shared" ref="D36:L36" si="9">SUM(D34:D35)</f>
        <v>950777631.51359999</v>
      </c>
      <c r="E36" s="20">
        <f t="shared" si="9"/>
        <v>981422425.49260831</v>
      </c>
      <c r="F36" s="20">
        <f t="shared" si="9"/>
        <v>1013039599.9168264</v>
      </c>
      <c r="G36" s="20">
        <f t="shared" si="9"/>
        <v>1045659652.1152573</v>
      </c>
      <c r="H36" s="20">
        <f t="shared" si="9"/>
        <v>1079314027.4846644</v>
      </c>
      <c r="I36" s="20">
        <f t="shared" si="9"/>
        <v>1114035148.7603023</v>
      </c>
      <c r="J36" s="20">
        <f t="shared" si="9"/>
        <v>1149856446.1854863</v>
      </c>
      <c r="K36" s="20">
        <f t="shared" si="9"/>
        <v>1186812388.6074865</v>
      </c>
      <c r="L36" s="69">
        <f t="shared" si="9"/>
        <v>1224938515.5280564</v>
      </c>
    </row>
    <row r="37" spans="1:12" x14ac:dyDescent="0.3">
      <c r="A37" s="39" t="s">
        <v>42</v>
      </c>
      <c r="B37" s="21">
        <f>-$C$3</f>
        <v>-7000000000</v>
      </c>
      <c r="C37" s="20">
        <f>C36</f>
        <v>819498028.79999995</v>
      </c>
      <c r="D37" s="20">
        <f t="shared" ref="D37:L37" si="10">D36</f>
        <v>950777631.51359999</v>
      </c>
      <c r="E37" s="20">
        <f t="shared" si="10"/>
        <v>981422425.49260831</v>
      </c>
      <c r="F37" s="20">
        <f t="shared" si="10"/>
        <v>1013039599.9168264</v>
      </c>
      <c r="G37" s="20">
        <f t="shared" si="10"/>
        <v>1045659652.1152573</v>
      </c>
      <c r="H37" s="20">
        <f t="shared" si="10"/>
        <v>1079314027.4846644</v>
      </c>
      <c r="I37" s="20">
        <f t="shared" si="10"/>
        <v>1114035148.7603023</v>
      </c>
      <c r="J37" s="20">
        <f t="shared" si="10"/>
        <v>1149856446.1854863</v>
      </c>
      <c r="K37" s="20">
        <f t="shared" si="10"/>
        <v>1186812388.6074865</v>
      </c>
      <c r="L37" s="69">
        <f t="shared" si="10"/>
        <v>1224938515.5280564</v>
      </c>
    </row>
    <row r="38" spans="1:12" x14ac:dyDescent="0.3">
      <c r="A38" s="40" t="s">
        <v>82</v>
      </c>
      <c r="B38" s="74">
        <f>B37</f>
        <v>-7000000000</v>
      </c>
      <c r="C38" s="67">
        <f>B38+C37</f>
        <v>-6180501971.1999998</v>
      </c>
      <c r="D38" s="67">
        <f t="shared" ref="D38:L38" si="11">C38+D37</f>
        <v>-5229724339.6863995</v>
      </c>
      <c r="E38" s="67">
        <f t="shared" si="11"/>
        <v>-4248301914.1937914</v>
      </c>
      <c r="F38" s="67">
        <f t="shared" si="11"/>
        <v>-3235262314.2769651</v>
      </c>
      <c r="G38" s="67">
        <f t="shared" si="11"/>
        <v>-2189602662.1617079</v>
      </c>
      <c r="H38" s="67">
        <f t="shared" si="11"/>
        <v>-1110288634.6770434</v>
      </c>
      <c r="I38" s="72">
        <f t="shared" si="11"/>
        <v>3746514.0832588673</v>
      </c>
      <c r="J38" s="67">
        <f t="shared" si="11"/>
        <v>1153602960.2687452</v>
      </c>
      <c r="K38" s="67">
        <f t="shared" si="11"/>
        <v>2340415348.8762317</v>
      </c>
      <c r="L38" s="73">
        <f t="shared" si="11"/>
        <v>3565353864.4042883</v>
      </c>
    </row>
    <row r="39" spans="1:12" x14ac:dyDescent="0.3">
      <c r="A39" s="59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2" x14ac:dyDescent="0.3">
      <c r="A40" s="52" t="s">
        <v>83</v>
      </c>
      <c r="B40" s="54">
        <f>-$C$3</f>
        <v>-7000000000</v>
      </c>
      <c r="C40" s="62"/>
      <c r="J40" s="277" t="s">
        <v>94</v>
      </c>
      <c r="K40" s="278"/>
    </row>
    <row r="41" spans="1:12" ht="28.8" x14ac:dyDescent="0.3">
      <c r="A41" s="47" t="s">
        <v>68</v>
      </c>
      <c r="B41" s="22">
        <f>C37</f>
        <v>819498028.79999995</v>
      </c>
      <c r="C41" s="56"/>
      <c r="J41" s="76" t="s">
        <v>95</v>
      </c>
      <c r="K41" s="86">
        <f>-((D30+D31+D33+D35)/12)/C7</f>
        <v>18.001647888000001</v>
      </c>
    </row>
    <row r="42" spans="1:12" ht="28.8" x14ac:dyDescent="0.3">
      <c r="A42" s="47" t="s">
        <v>73</v>
      </c>
      <c r="B42" s="22">
        <f>D$37</f>
        <v>950777631.51359999</v>
      </c>
      <c r="C42" s="57"/>
      <c r="J42" s="77" t="s">
        <v>96</v>
      </c>
      <c r="K42" s="79">
        <f>K41/C6</f>
        <v>0.47372757600000004</v>
      </c>
    </row>
    <row r="43" spans="1:12" x14ac:dyDescent="0.3">
      <c r="A43" s="47" t="s">
        <v>74</v>
      </c>
      <c r="B43" s="22">
        <f>E$37</f>
        <v>981422425.49260831</v>
      </c>
      <c r="C43" s="57"/>
      <c r="J43" s="87" t="s">
        <v>107</v>
      </c>
    </row>
    <row r="44" spans="1:12" x14ac:dyDescent="0.3">
      <c r="A44" s="47" t="s">
        <v>75</v>
      </c>
      <c r="B44" s="22">
        <f>F$37</f>
        <v>1013039599.9168264</v>
      </c>
      <c r="C44" s="57"/>
    </row>
    <row r="45" spans="1:12" x14ac:dyDescent="0.3">
      <c r="A45" s="47" t="s">
        <v>76</v>
      </c>
      <c r="B45" s="22">
        <f>G$37</f>
        <v>1045659652.1152573</v>
      </c>
      <c r="C45" s="57"/>
    </row>
    <row r="46" spans="1:12" x14ac:dyDescent="0.3">
      <c r="A46" s="47" t="s">
        <v>77</v>
      </c>
      <c r="B46" s="22">
        <f>H$37</f>
        <v>1079314027.4846644</v>
      </c>
      <c r="C46" s="57"/>
    </row>
    <row r="47" spans="1:12" x14ac:dyDescent="0.3">
      <c r="A47" s="47" t="s">
        <v>78</v>
      </c>
      <c r="B47" s="22">
        <f>I$37</f>
        <v>1114035148.7603023</v>
      </c>
      <c r="C47" s="57"/>
    </row>
    <row r="48" spans="1:12" x14ac:dyDescent="0.3">
      <c r="A48" s="47" t="s">
        <v>79</v>
      </c>
      <c r="B48" s="22">
        <f>J$37</f>
        <v>1149856446.1854863</v>
      </c>
      <c r="C48" s="57"/>
    </row>
    <row r="49" spans="1:3" x14ac:dyDescent="0.3">
      <c r="A49" s="47" t="s">
        <v>80</v>
      </c>
      <c r="B49" s="22">
        <f>K$37</f>
        <v>1186812388.6074865</v>
      </c>
      <c r="C49" s="57"/>
    </row>
    <row r="50" spans="1:3" x14ac:dyDescent="0.3">
      <c r="A50" s="48" t="s">
        <v>69</v>
      </c>
      <c r="B50" s="23">
        <f>L$37</f>
        <v>1224938515.5280564</v>
      </c>
      <c r="C50" s="57"/>
    </row>
    <row r="51" spans="1:3" x14ac:dyDescent="0.3">
      <c r="A51" s="15"/>
      <c r="B51" s="15"/>
      <c r="C51" s="57"/>
    </row>
    <row r="52" spans="1:3" x14ac:dyDescent="0.3">
      <c r="A52" s="270" t="s">
        <v>70</v>
      </c>
      <c r="B52" s="271"/>
      <c r="C52" s="57"/>
    </row>
    <row r="53" spans="1:3" x14ac:dyDescent="0.3">
      <c r="A53" s="49" t="s">
        <v>27</v>
      </c>
      <c r="B53" s="24">
        <f>IRR(B40:B50)</f>
        <v>7.766549609964879E-2</v>
      </c>
      <c r="C53" s="58"/>
    </row>
    <row r="54" spans="1:3" x14ac:dyDescent="0.3">
      <c r="A54" s="50" t="s">
        <v>71</v>
      </c>
      <c r="B54" s="25">
        <f>D36/$C$3</f>
        <v>0.13582537593051427</v>
      </c>
      <c r="C54" s="58"/>
    </row>
    <row r="55" spans="1:3" x14ac:dyDescent="0.3">
      <c r="A55" s="51" t="s">
        <v>72</v>
      </c>
      <c r="B55" s="26" cm="1">
        <f t="array" ref="B55">(COUNTIF(B38:L38,"&lt;0")-1) + (-INDEX(B38:L38, COUNTIF(B38:L38,"&lt;0")) / INDEX(B37:L37, COUNTIF(B38:L38,"&lt;0")+1))</f>
        <v>6.9966369875426029</v>
      </c>
      <c r="C55" s="63"/>
    </row>
    <row r="65" spans="1:16" x14ac:dyDescent="0.3">
      <c r="A65" s="268" t="s">
        <v>97</v>
      </c>
      <c r="B65" s="269"/>
      <c r="H65" s="272" t="s">
        <v>89</v>
      </c>
      <c r="I65" s="273"/>
      <c r="J65" s="272" t="s">
        <v>99</v>
      </c>
      <c r="K65" s="273"/>
      <c r="M65" s="276"/>
      <c r="N65" s="276"/>
      <c r="O65" s="276"/>
      <c r="P65" s="276"/>
    </row>
    <row r="66" spans="1:16" ht="27.6" customHeight="1" x14ac:dyDescent="0.3">
      <c r="A66" s="90" t="s">
        <v>85</v>
      </c>
      <c r="B66" s="91">
        <f>ABS(E27)</f>
        <v>170287180.79999992</v>
      </c>
      <c r="H66" s="80" t="s">
        <v>90</v>
      </c>
      <c r="I66" s="81">
        <v>8.6977327173762609E-2</v>
      </c>
      <c r="J66" s="274" t="s">
        <v>104</v>
      </c>
      <c r="K66" s="275"/>
      <c r="M66" s="75"/>
      <c r="N66" s="83"/>
      <c r="O66" s="279"/>
      <c r="P66" s="279"/>
    </row>
    <row r="67" spans="1:16" ht="28.8" x14ac:dyDescent="0.3">
      <c r="A67" s="92" t="s">
        <v>86</v>
      </c>
      <c r="B67" s="93">
        <f>ABS((E30)+ABS((E31)))</f>
        <v>133164575.38559999</v>
      </c>
      <c r="H67" s="78" t="s">
        <v>92</v>
      </c>
      <c r="I67" s="81">
        <v>7.19463415673669E-2</v>
      </c>
      <c r="J67" s="274" t="s">
        <v>98</v>
      </c>
      <c r="K67" s="275"/>
    </row>
    <row r="68" spans="1:16" ht="32.4" customHeight="1" x14ac:dyDescent="0.3">
      <c r="A68" s="92" t="s">
        <v>87</v>
      </c>
      <c r="B68" s="93">
        <f>ABS(E33)</f>
        <v>530366258.39999992</v>
      </c>
      <c r="H68" s="78" t="s">
        <v>101</v>
      </c>
      <c r="I68" s="81">
        <v>-2.8129042561216067E-2</v>
      </c>
      <c r="J68" s="274" t="s">
        <v>102</v>
      </c>
      <c r="K68" s="275"/>
    </row>
    <row r="69" spans="1:16" ht="31.2" customHeight="1" x14ac:dyDescent="0.3">
      <c r="A69" s="94" t="s">
        <v>88</v>
      </c>
      <c r="B69" s="95">
        <f>ABS(E35)</f>
        <v>215434190.96179205</v>
      </c>
      <c r="H69" s="78" t="s">
        <v>91</v>
      </c>
      <c r="I69" s="81">
        <v>6.7257102082223685E-2</v>
      </c>
      <c r="J69" s="274" t="s">
        <v>103</v>
      </c>
      <c r="K69" s="275"/>
    </row>
    <row r="70" spans="1:16" ht="43.2" customHeight="1" x14ac:dyDescent="0.3">
      <c r="H70" s="78" t="s">
        <v>93</v>
      </c>
      <c r="I70" s="81">
        <v>7.766549609964879E-2</v>
      </c>
      <c r="J70" s="274" t="s">
        <v>100</v>
      </c>
      <c r="K70" s="275"/>
    </row>
    <row r="71" spans="1:16" ht="43.2" customHeight="1" x14ac:dyDescent="0.3">
      <c r="H71" s="78" t="s">
        <v>106</v>
      </c>
      <c r="I71" s="81">
        <v>7.0539218565478734E-2</v>
      </c>
      <c r="J71" s="274" t="s">
        <v>105</v>
      </c>
      <c r="K71" s="275"/>
    </row>
  </sheetData>
  <mergeCells count="14">
    <mergeCell ref="J70:K70"/>
    <mergeCell ref="J71:K71"/>
    <mergeCell ref="O65:P65"/>
    <mergeCell ref="J66:K66"/>
    <mergeCell ref="O66:P66"/>
    <mergeCell ref="J67:K67"/>
    <mergeCell ref="J68:K68"/>
    <mergeCell ref="J69:K69"/>
    <mergeCell ref="M65:N65"/>
    <mergeCell ref="J40:K40"/>
    <mergeCell ref="A52:B52"/>
    <mergeCell ref="A65:B65"/>
    <mergeCell ref="H65:I65"/>
    <mergeCell ref="J65:K65"/>
  </mergeCells>
  <conditionalFormatting sqref="I66:I7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{0D01ACB8-1315-43A3-BD94-A823324C5DD5}</x14:id>
        </ext>
      </extLst>
    </cfRule>
  </conditionalFormatting>
  <conditionalFormatting sqref="N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{DAA4AD6F-06FD-442A-AA17-C188E52D111A}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01ACB8-1315-43A3-BD94-A823324C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I66:I71</xm:sqref>
        </x14:conditionalFormatting>
        <x14:conditionalFormatting xmlns:xm="http://schemas.microsoft.com/office/excel/2006/main">
          <x14:cfRule type="dataBar" id="{DAA4AD6F-06FD-442A-AA17-C188E52D1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341C-82AE-46E2-A1C3-F36C64B5386C}">
  <sheetPr>
    <pageSetUpPr autoPageBreaks="0"/>
  </sheetPr>
  <dimension ref="A1:P71"/>
  <sheetViews>
    <sheetView zoomScale="94" zoomScaleNormal="70" workbookViewId="0">
      <selection activeCell="C6" sqref="C6"/>
    </sheetView>
  </sheetViews>
  <sheetFormatPr defaultColWidth="8.88671875" defaultRowHeight="14.4" x14ac:dyDescent="0.3"/>
  <cols>
    <col min="1" max="1" width="27.109375" style="55" customWidth="1"/>
    <col min="2" max="2" width="17.21875" style="55" bestFit="1" customWidth="1"/>
    <col min="3" max="7" width="17.88671875" style="55" bestFit="1" customWidth="1"/>
    <col min="8" max="8" width="21.5546875" style="55" customWidth="1"/>
    <col min="9" max="12" width="17.21875" style="55" bestFit="1" customWidth="1"/>
    <col min="13" max="13" width="12.88671875" style="55" bestFit="1" customWidth="1"/>
    <col min="14" max="14" width="6.109375" style="55" bestFit="1" customWidth="1"/>
    <col min="15" max="16384" width="8.88671875" style="55"/>
  </cols>
  <sheetData>
    <row r="1" spans="1:4" x14ac:dyDescent="0.3">
      <c r="A1" s="88" t="s">
        <v>45</v>
      </c>
      <c r="B1" s="41"/>
      <c r="C1" s="89" t="s">
        <v>84</v>
      </c>
    </row>
    <row r="2" spans="1:4" x14ac:dyDescent="0.3">
      <c r="A2" s="42" t="s">
        <v>46</v>
      </c>
      <c r="B2" s="16"/>
      <c r="C2" s="27"/>
    </row>
    <row r="3" spans="1:4" x14ac:dyDescent="0.3">
      <c r="A3" s="43" t="s">
        <v>47</v>
      </c>
      <c r="B3" s="16"/>
      <c r="C3" s="28">
        <v>7000000000</v>
      </c>
    </row>
    <row r="4" spans="1:4" x14ac:dyDescent="0.3">
      <c r="A4" s="37"/>
      <c r="B4" s="16"/>
      <c r="C4" s="27"/>
    </row>
    <row r="5" spans="1:4" x14ac:dyDescent="0.3">
      <c r="A5" s="44" t="s">
        <v>48</v>
      </c>
      <c r="B5" s="16"/>
      <c r="C5" s="27"/>
    </row>
    <row r="6" spans="1:4" x14ac:dyDescent="0.3">
      <c r="A6" s="43" t="s">
        <v>49</v>
      </c>
      <c r="B6" s="16"/>
      <c r="C6" s="29">
        <v>38</v>
      </c>
    </row>
    <row r="7" spans="1:4" x14ac:dyDescent="0.3">
      <c r="A7" s="43" t="s">
        <v>50</v>
      </c>
      <c r="B7" s="16"/>
      <c r="C7" s="28">
        <f>4600000-350000</f>
        <v>4250000</v>
      </c>
      <c r="D7" s="82"/>
    </row>
    <row r="8" spans="1:4" x14ac:dyDescent="0.3">
      <c r="A8" s="37"/>
      <c r="B8" s="16"/>
      <c r="C8" s="27"/>
    </row>
    <row r="9" spans="1:4" x14ac:dyDescent="0.3">
      <c r="A9" s="45" t="s">
        <v>51</v>
      </c>
      <c r="B9" s="16"/>
      <c r="C9" s="27"/>
    </row>
    <row r="10" spans="1:4" x14ac:dyDescent="0.3">
      <c r="A10" s="43" t="s">
        <v>52</v>
      </c>
      <c r="B10" s="16"/>
      <c r="C10" s="30">
        <v>0.03</v>
      </c>
    </row>
    <row r="11" spans="1:4" x14ac:dyDescent="0.3">
      <c r="A11" s="43" t="s">
        <v>53</v>
      </c>
      <c r="B11" s="16"/>
      <c r="C11" s="30">
        <v>2.5000000000000001E-2</v>
      </c>
    </row>
    <row r="12" spans="1:4" x14ac:dyDescent="0.3">
      <c r="A12" s="37"/>
      <c r="B12" s="16"/>
      <c r="C12" s="27"/>
    </row>
    <row r="13" spans="1:4" x14ac:dyDescent="0.3">
      <c r="A13" s="45" t="s">
        <v>54</v>
      </c>
      <c r="B13" s="16"/>
      <c r="C13" s="27"/>
    </row>
    <row r="14" spans="1:4" x14ac:dyDescent="0.3">
      <c r="A14" s="43" t="s">
        <v>55</v>
      </c>
      <c r="B14" s="16"/>
      <c r="C14" s="30">
        <v>0.85</v>
      </c>
    </row>
    <row r="15" spans="1:4" x14ac:dyDescent="0.3">
      <c r="A15" s="43" t="s">
        <v>56</v>
      </c>
      <c r="B15" s="16"/>
      <c r="C15" s="30">
        <v>0.92</v>
      </c>
    </row>
    <row r="16" spans="1:4" x14ac:dyDescent="0.3">
      <c r="A16" s="37"/>
      <c r="B16" s="16"/>
      <c r="C16" s="27"/>
    </row>
    <row r="17" spans="1:12" x14ac:dyDescent="0.3">
      <c r="A17" s="45" t="s">
        <v>57</v>
      </c>
      <c r="B17" s="16"/>
      <c r="C17" s="27"/>
    </row>
    <row r="18" spans="1:12" x14ac:dyDescent="0.3">
      <c r="A18" s="43" t="s">
        <v>5</v>
      </c>
      <c r="B18" s="16"/>
      <c r="C18" s="30">
        <v>2.5000000000000001E-2</v>
      </c>
    </row>
    <row r="19" spans="1:12" x14ac:dyDescent="0.3">
      <c r="A19" s="37" t="s">
        <v>6</v>
      </c>
      <c r="B19" s="16"/>
      <c r="C19" s="30">
        <v>9.2999999999999999E-2</v>
      </c>
    </row>
    <row r="20" spans="1:12" x14ac:dyDescent="0.3">
      <c r="A20" s="43" t="s">
        <v>58</v>
      </c>
      <c r="B20" s="16"/>
      <c r="C20" s="30">
        <v>0.29599999999999999</v>
      </c>
    </row>
    <row r="21" spans="1:12" x14ac:dyDescent="0.3">
      <c r="A21" s="46" t="s">
        <v>59</v>
      </c>
      <c r="B21" s="31"/>
      <c r="C21" s="32">
        <v>0.18</v>
      </c>
    </row>
    <row r="22" spans="1:12" x14ac:dyDescent="0.3">
      <c r="A22" s="56"/>
      <c r="B22" s="57"/>
      <c r="C22" s="58"/>
    </row>
    <row r="24" spans="1:12" x14ac:dyDescent="0.3">
      <c r="A24" s="53" t="s">
        <v>81</v>
      </c>
      <c r="B24" s="33" t="s">
        <v>67</v>
      </c>
      <c r="C24" s="34" t="s">
        <v>68</v>
      </c>
      <c r="D24" s="33" t="s">
        <v>73</v>
      </c>
      <c r="E24" s="34" t="s">
        <v>74</v>
      </c>
      <c r="F24" s="33" t="s">
        <v>75</v>
      </c>
      <c r="G24" s="34" t="s">
        <v>76</v>
      </c>
      <c r="H24" s="33" t="s">
        <v>77</v>
      </c>
      <c r="I24" s="34" t="s">
        <v>78</v>
      </c>
      <c r="J24" s="33" t="s">
        <v>79</v>
      </c>
      <c r="K24" s="34" t="s">
        <v>80</v>
      </c>
      <c r="L24" s="35" t="s">
        <v>69</v>
      </c>
    </row>
    <row r="25" spans="1:12" x14ac:dyDescent="0.3">
      <c r="A25" s="36" t="s">
        <v>60</v>
      </c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9"/>
    </row>
    <row r="26" spans="1:12" x14ac:dyDescent="0.3">
      <c r="A26" s="37" t="s">
        <v>61</v>
      </c>
      <c r="B26" s="17"/>
      <c r="C26" s="20">
        <f>$C$6*$C$7*12</f>
        <v>1938000000</v>
      </c>
      <c r="D26" s="66">
        <f>C26*(1+$C$10)</f>
        <v>1996140000</v>
      </c>
      <c r="E26" s="66">
        <f t="shared" ref="E26:L26" si="0">D26*(1+$C$10)</f>
        <v>2056024200</v>
      </c>
      <c r="F26" s="66">
        <f t="shared" si="0"/>
        <v>2117704926</v>
      </c>
      <c r="G26" s="66">
        <f t="shared" si="0"/>
        <v>2181236073.7800002</v>
      </c>
      <c r="H26" s="66">
        <f t="shared" si="0"/>
        <v>2246673155.9934001</v>
      </c>
      <c r="I26" s="66">
        <f t="shared" si="0"/>
        <v>2314073350.673202</v>
      </c>
      <c r="J26" s="66">
        <f t="shared" si="0"/>
        <v>2383495551.193398</v>
      </c>
      <c r="K26" s="66">
        <f t="shared" si="0"/>
        <v>2455000417.7291999</v>
      </c>
      <c r="L26" s="68">
        <f t="shared" si="0"/>
        <v>2528650430.261076</v>
      </c>
    </row>
    <row r="27" spans="1:12" x14ac:dyDescent="0.3">
      <c r="A27" s="37" t="s">
        <v>62</v>
      </c>
      <c r="B27" s="17"/>
      <c r="C27" s="20">
        <f>C26*(1-$C$14)</f>
        <v>290700000.00000006</v>
      </c>
      <c r="D27" s="20">
        <f>D26*(1-$C$15)</f>
        <v>159691199.99999991</v>
      </c>
      <c r="E27" s="20">
        <f t="shared" ref="E27:L27" si="1">E26*(1-$C$15)</f>
        <v>164481935.99999991</v>
      </c>
      <c r="F27" s="20">
        <f t="shared" si="1"/>
        <v>169416394.07999992</v>
      </c>
      <c r="G27" s="20">
        <f t="shared" si="1"/>
        <v>174498885.90239993</v>
      </c>
      <c r="H27" s="20">
        <f t="shared" si="1"/>
        <v>179733852.47947192</v>
      </c>
      <c r="I27" s="20">
        <f t="shared" si="1"/>
        <v>185125868.05385607</v>
      </c>
      <c r="J27" s="20">
        <f t="shared" si="1"/>
        <v>190679644.09547174</v>
      </c>
      <c r="K27" s="20">
        <f t="shared" si="1"/>
        <v>196400033.41833588</v>
      </c>
      <c r="L27" s="69">
        <f t="shared" si="1"/>
        <v>202292034.42088598</v>
      </c>
    </row>
    <row r="28" spans="1:12" x14ac:dyDescent="0.3">
      <c r="A28" s="38" t="s">
        <v>4</v>
      </c>
      <c r="B28" s="17"/>
      <c r="C28" s="20">
        <f>C26-C27</f>
        <v>1647300000</v>
      </c>
      <c r="D28" s="20">
        <f t="shared" ref="D28:L28" si="2">D26-D27</f>
        <v>1836448800</v>
      </c>
      <c r="E28" s="20">
        <f t="shared" si="2"/>
        <v>1891542264</v>
      </c>
      <c r="F28" s="20">
        <f t="shared" si="2"/>
        <v>1948288531.9200001</v>
      </c>
      <c r="G28" s="20">
        <f t="shared" si="2"/>
        <v>2006737187.8776002</v>
      </c>
      <c r="H28" s="20">
        <f t="shared" si="2"/>
        <v>2066939303.5139282</v>
      </c>
      <c r="I28" s="20">
        <f t="shared" si="2"/>
        <v>2128947482.6193459</v>
      </c>
      <c r="J28" s="20">
        <f t="shared" si="2"/>
        <v>2192815907.0979261</v>
      </c>
      <c r="K28" s="20">
        <f t="shared" si="2"/>
        <v>2258600384.310864</v>
      </c>
      <c r="L28" s="69">
        <f t="shared" si="2"/>
        <v>2326358395.8401899</v>
      </c>
    </row>
    <row r="29" spans="1:12" x14ac:dyDescent="0.3">
      <c r="A29" s="38" t="s">
        <v>63</v>
      </c>
      <c r="B29" s="17"/>
      <c r="C29" s="65"/>
      <c r="D29" s="65"/>
      <c r="E29" s="20"/>
      <c r="F29" s="20"/>
      <c r="G29" s="20"/>
      <c r="H29" s="20"/>
      <c r="I29" s="20"/>
      <c r="J29" s="20"/>
      <c r="K29" s="20"/>
      <c r="L29" s="69"/>
    </row>
    <row r="30" spans="1:12" x14ac:dyDescent="0.3">
      <c r="A30" s="37" t="s">
        <v>5</v>
      </c>
      <c r="B30" s="17"/>
      <c r="C30" s="20">
        <f>-C28*$C$18</f>
        <v>-41182500</v>
      </c>
      <c r="D30" s="20">
        <f t="shared" ref="D30:L30" si="3">-D28*$C$18</f>
        <v>-45911220</v>
      </c>
      <c r="E30" s="20">
        <f t="shared" si="3"/>
        <v>-47288556.600000001</v>
      </c>
      <c r="F30" s="20">
        <f t="shared" si="3"/>
        <v>-48707213.298000008</v>
      </c>
      <c r="G30" s="20">
        <f t="shared" si="3"/>
        <v>-50168429.696940005</v>
      </c>
      <c r="H30" s="20">
        <f t="shared" si="3"/>
        <v>-51673482.587848209</v>
      </c>
      <c r="I30" s="20">
        <f t="shared" si="3"/>
        <v>-53223687.065483652</v>
      </c>
      <c r="J30" s="20">
        <f t="shared" si="3"/>
        <v>-54820397.677448153</v>
      </c>
      <c r="K30" s="20">
        <f t="shared" si="3"/>
        <v>-56465009.607771605</v>
      </c>
      <c r="L30" s="69">
        <f t="shared" si="3"/>
        <v>-58158959.896004751</v>
      </c>
    </row>
    <row r="31" spans="1:12" x14ac:dyDescent="0.3">
      <c r="A31" s="37" t="s">
        <v>6</v>
      </c>
      <c r="B31" s="17"/>
      <c r="C31" s="66">
        <f>-C28*$C$19</f>
        <v>-153198900</v>
      </c>
      <c r="D31" s="66">
        <f t="shared" ref="D31:L31" si="4">-D28*$C$19</f>
        <v>-170789738.40000001</v>
      </c>
      <c r="E31" s="66">
        <f t="shared" si="4"/>
        <v>-175913430.55199999</v>
      </c>
      <c r="F31" s="66">
        <f t="shared" si="4"/>
        <v>-181190833.46856001</v>
      </c>
      <c r="G31" s="66">
        <f t="shared" si="4"/>
        <v>-186626558.47261682</v>
      </c>
      <c r="H31" s="66">
        <f t="shared" si="4"/>
        <v>-192225355.22679532</v>
      </c>
      <c r="I31" s="66">
        <f t="shared" si="4"/>
        <v>-197992115.88359916</v>
      </c>
      <c r="J31" s="66">
        <f t="shared" si="4"/>
        <v>-203931879.36010712</v>
      </c>
      <c r="K31" s="66">
        <f t="shared" si="4"/>
        <v>-210049835.74091035</v>
      </c>
      <c r="L31" s="68">
        <f t="shared" si="4"/>
        <v>-216351330.81313765</v>
      </c>
    </row>
    <row r="32" spans="1:12" x14ac:dyDescent="0.3">
      <c r="A32" s="38" t="s">
        <v>7</v>
      </c>
      <c r="B32" s="17"/>
      <c r="C32" s="66">
        <f>SUM(C28:C31)</f>
        <v>1452918600</v>
      </c>
      <c r="D32" s="66">
        <f t="shared" ref="D32:L32" si="5">SUM(D28:D31)</f>
        <v>1619747841.5999999</v>
      </c>
      <c r="E32" s="66">
        <f t="shared" si="5"/>
        <v>1668340276.848</v>
      </c>
      <c r="F32" s="66">
        <f t="shared" si="5"/>
        <v>1718390485.15344</v>
      </c>
      <c r="G32" s="66">
        <f t="shared" si="5"/>
        <v>1769942199.7080433</v>
      </c>
      <c r="H32" s="66">
        <f t="shared" si="5"/>
        <v>1823040465.6992846</v>
      </c>
      <c r="I32" s="66">
        <f t="shared" si="5"/>
        <v>1877731679.6702633</v>
      </c>
      <c r="J32" s="66">
        <f t="shared" si="5"/>
        <v>1934063630.0603707</v>
      </c>
      <c r="K32" s="66">
        <f t="shared" si="5"/>
        <v>1992085538.9621823</v>
      </c>
      <c r="L32" s="68">
        <f t="shared" si="5"/>
        <v>2051848105.1310477</v>
      </c>
    </row>
    <row r="33" spans="1:12" x14ac:dyDescent="0.3">
      <c r="A33" s="37" t="s">
        <v>64</v>
      </c>
      <c r="B33" s="17"/>
      <c r="C33" s="20">
        <f>-C28*$C$20</f>
        <v>-487600800</v>
      </c>
      <c r="D33" s="20">
        <f>C33*(1+$C$11)</f>
        <v>-499790819.99999994</v>
      </c>
      <c r="E33" s="20">
        <f t="shared" ref="E33:L33" si="6">D33*(1+$C$11)</f>
        <v>-512285590.49999988</v>
      </c>
      <c r="F33" s="20">
        <f t="shared" si="6"/>
        <v>-525092730.26249981</v>
      </c>
      <c r="G33" s="20">
        <f t="shared" si="6"/>
        <v>-538220048.51906228</v>
      </c>
      <c r="H33" s="20">
        <f t="shared" si="6"/>
        <v>-551675549.73203874</v>
      </c>
      <c r="I33" s="20">
        <f t="shared" si="6"/>
        <v>-565467438.47533965</v>
      </c>
      <c r="J33" s="20">
        <f t="shared" si="6"/>
        <v>-579604124.43722308</v>
      </c>
      <c r="K33" s="20">
        <f t="shared" si="6"/>
        <v>-594094227.54815364</v>
      </c>
      <c r="L33" s="20">
        <f t="shared" si="6"/>
        <v>-608946583.23685741</v>
      </c>
    </row>
    <row r="34" spans="1:12" s="64" customFormat="1" ht="14.4" customHeight="1" x14ac:dyDescent="0.3">
      <c r="A34" s="38" t="s">
        <v>65</v>
      </c>
      <c r="B34" s="18"/>
      <c r="C34" s="65">
        <f>SUM(C32:C33)</f>
        <v>965317800</v>
      </c>
      <c r="D34" s="70">
        <f>SUM(D32:D33)</f>
        <v>1119957021.5999999</v>
      </c>
      <c r="E34" s="70">
        <f t="shared" ref="E34:L34" si="7">SUM(E32:E33)</f>
        <v>1156054686.348</v>
      </c>
      <c r="F34" s="70">
        <f t="shared" si="7"/>
        <v>1193297754.8909402</v>
      </c>
      <c r="G34" s="70">
        <f t="shared" si="7"/>
        <v>1231722151.1889811</v>
      </c>
      <c r="H34" s="70">
        <f t="shared" si="7"/>
        <v>1271364915.9672458</v>
      </c>
      <c r="I34" s="70">
        <f t="shared" si="7"/>
        <v>1312264241.1949236</v>
      </c>
      <c r="J34" s="70">
        <f t="shared" si="7"/>
        <v>1354459505.6231475</v>
      </c>
      <c r="K34" s="70">
        <f t="shared" si="7"/>
        <v>1397991311.4140286</v>
      </c>
      <c r="L34" s="71">
        <f t="shared" si="7"/>
        <v>1442901521.8941903</v>
      </c>
    </row>
    <row r="35" spans="1:12" x14ac:dyDescent="0.3">
      <c r="A35" s="37" t="s">
        <v>10</v>
      </c>
      <c r="B35" s="17"/>
      <c r="C35" s="20">
        <f>-C34*$C$21</f>
        <v>-173757204</v>
      </c>
      <c r="D35" s="20">
        <f t="shared" ref="D35:L35" si="8">-D34*$C$21</f>
        <v>-201592263.88799998</v>
      </c>
      <c r="E35" s="20">
        <f t="shared" si="8"/>
        <v>-208089843.54264</v>
      </c>
      <c r="F35" s="20">
        <f t="shared" si="8"/>
        <v>-214793595.88036922</v>
      </c>
      <c r="G35" s="20">
        <f t="shared" si="8"/>
        <v>-221709987.21401659</v>
      </c>
      <c r="H35" s="20">
        <f t="shared" si="8"/>
        <v>-228845684.87410423</v>
      </c>
      <c r="I35" s="20">
        <f t="shared" si="8"/>
        <v>-236207563.41508624</v>
      </c>
      <c r="J35" s="20">
        <f t="shared" si="8"/>
        <v>-243802711.01216653</v>
      </c>
      <c r="K35" s="20">
        <f t="shared" si="8"/>
        <v>-251638436.05452514</v>
      </c>
      <c r="L35" s="69">
        <f t="shared" si="8"/>
        <v>-259722273.94095424</v>
      </c>
    </row>
    <row r="36" spans="1:12" x14ac:dyDescent="0.3">
      <c r="A36" s="38" t="s">
        <v>66</v>
      </c>
      <c r="B36" s="17"/>
      <c r="C36" s="20">
        <f>SUM(C34:C35)</f>
        <v>791560596</v>
      </c>
      <c r="D36" s="20">
        <f t="shared" ref="D36:L36" si="9">SUM(D34:D35)</f>
        <v>918364757.71199989</v>
      </c>
      <c r="E36" s="20">
        <f t="shared" si="9"/>
        <v>947964842.80536008</v>
      </c>
      <c r="F36" s="20">
        <f t="shared" si="9"/>
        <v>978504159.010571</v>
      </c>
      <c r="G36" s="20">
        <f t="shared" si="9"/>
        <v>1010012163.9749645</v>
      </c>
      <c r="H36" s="20">
        <f t="shared" si="9"/>
        <v>1042519231.0931416</v>
      </c>
      <c r="I36" s="20">
        <f t="shared" si="9"/>
        <v>1076056677.7798374</v>
      </c>
      <c r="J36" s="20">
        <f t="shared" si="9"/>
        <v>1110656794.610981</v>
      </c>
      <c r="K36" s="20">
        <f t="shared" si="9"/>
        <v>1146352875.3595035</v>
      </c>
      <c r="L36" s="69">
        <f t="shared" si="9"/>
        <v>1183179247.9532361</v>
      </c>
    </row>
    <row r="37" spans="1:12" x14ac:dyDescent="0.3">
      <c r="A37" s="39" t="s">
        <v>42</v>
      </c>
      <c r="B37" s="21">
        <f>-$C$3</f>
        <v>-7000000000</v>
      </c>
      <c r="C37" s="20">
        <f>C36</f>
        <v>791560596</v>
      </c>
      <c r="D37" s="20">
        <f t="shared" ref="D37:L37" si="10">D36</f>
        <v>918364757.71199989</v>
      </c>
      <c r="E37" s="20">
        <f t="shared" si="10"/>
        <v>947964842.80536008</v>
      </c>
      <c r="F37" s="20">
        <f t="shared" si="10"/>
        <v>978504159.010571</v>
      </c>
      <c r="G37" s="20">
        <f t="shared" si="10"/>
        <v>1010012163.9749645</v>
      </c>
      <c r="H37" s="20">
        <f t="shared" si="10"/>
        <v>1042519231.0931416</v>
      </c>
      <c r="I37" s="20">
        <f t="shared" si="10"/>
        <v>1076056677.7798374</v>
      </c>
      <c r="J37" s="20">
        <f t="shared" si="10"/>
        <v>1110656794.610981</v>
      </c>
      <c r="K37" s="20">
        <f t="shared" si="10"/>
        <v>1146352875.3595035</v>
      </c>
      <c r="L37" s="69">
        <f t="shared" si="10"/>
        <v>1183179247.9532361</v>
      </c>
    </row>
    <row r="38" spans="1:12" x14ac:dyDescent="0.3">
      <c r="A38" s="40" t="s">
        <v>82</v>
      </c>
      <c r="B38" s="74">
        <f>B37</f>
        <v>-7000000000</v>
      </c>
      <c r="C38" s="67">
        <f>B38+C37</f>
        <v>-6208439404</v>
      </c>
      <c r="D38" s="67">
        <f t="shared" ref="D38:L38" si="11">C38+D37</f>
        <v>-5290074646.2880001</v>
      </c>
      <c r="E38" s="67">
        <f t="shared" si="11"/>
        <v>-4342109803.4826403</v>
      </c>
      <c r="F38" s="67">
        <f t="shared" si="11"/>
        <v>-3363605644.4720693</v>
      </c>
      <c r="G38" s="67">
        <f t="shared" si="11"/>
        <v>-2353593480.4971046</v>
      </c>
      <c r="H38" s="67">
        <f t="shared" si="11"/>
        <v>-1311074249.4039631</v>
      </c>
      <c r="I38" s="72">
        <f t="shared" si="11"/>
        <v>-235017571.62412572</v>
      </c>
      <c r="J38" s="67">
        <f t="shared" si="11"/>
        <v>875639222.98685527</v>
      </c>
      <c r="K38" s="67">
        <f t="shared" si="11"/>
        <v>2021992098.3463588</v>
      </c>
      <c r="L38" s="73">
        <f t="shared" si="11"/>
        <v>3205171346.2995949</v>
      </c>
    </row>
    <row r="39" spans="1:12" x14ac:dyDescent="0.3">
      <c r="A39" s="59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2" x14ac:dyDescent="0.3">
      <c r="A40" s="52" t="s">
        <v>83</v>
      </c>
      <c r="B40" s="54">
        <f>-$C$3</f>
        <v>-7000000000</v>
      </c>
      <c r="C40" s="62"/>
      <c r="J40" s="277" t="s">
        <v>94</v>
      </c>
      <c r="K40" s="278"/>
    </row>
    <row r="41" spans="1:12" ht="28.8" x14ac:dyDescent="0.3">
      <c r="A41" s="47" t="s">
        <v>68</v>
      </c>
      <c r="B41" s="22">
        <f>C37</f>
        <v>791560596</v>
      </c>
      <c r="C41" s="56"/>
      <c r="J41" s="76" t="s">
        <v>95</v>
      </c>
      <c r="K41" s="86">
        <f>-((D30+D31+D33+D35)/12)/C7</f>
        <v>18.001647888000001</v>
      </c>
    </row>
    <row r="42" spans="1:12" ht="28.8" x14ac:dyDescent="0.3">
      <c r="A42" s="47" t="s">
        <v>73</v>
      </c>
      <c r="B42" s="22">
        <f>D$37</f>
        <v>918364757.71199989</v>
      </c>
      <c r="C42" s="57"/>
      <c r="J42" s="77" t="s">
        <v>96</v>
      </c>
      <c r="K42" s="79">
        <f>K41/C6</f>
        <v>0.47372757600000004</v>
      </c>
    </row>
    <row r="43" spans="1:12" x14ac:dyDescent="0.3">
      <c r="A43" s="47" t="s">
        <v>74</v>
      </c>
      <c r="B43" s="22">
        <f>E$37</f>
        <v>947964842.80536008</v>
      </c>
      <c r="C43" s="57"/>
      <c r="J43" s="87" t="s">
        <v>107</v>
      </c>
    </row>
    <row r="44" spans="1:12" x14ac:dyDescent="0.3">
      <c r="A44" s="47" t="s">
        <v>75</v>
      </c>
      <c r="B44" s="22">
        <f>F$37</f>
        <v>978504159.010571</v>
      </c>
      <c r="C44" s="57"/>
    </row>
    <row r="45" spans="1:12" x14ac:dyDescent="0.3">
      <c r="A45" s="47" t="s">
        <v>76</v>
      </c>
      <c r="B45" s="22">
        <f>G$37</f>
        <v>1010012163.9749645</v>
      </c>
      <c r="C45" s="57"/>
    </row>
    <row r="46" spans="1:12" x14ac:dyDescent="0.3">
      <c r="A46" s="47" t="s">
        <v>77</v>
      </c>
      <c r="B46" s="22">
        <f>H$37</f>
        <v>1042519231.0931416</v>
      </c>
      <c r="C46" s="57"/>
    </row>
    <row r="47" spans="1:12" x14ac:dyDescent="0.3">
      <c r="A47" s="47" t="s">
        <v>78</v>
      </c>
      <c r="B47" s="22">
        <f>I$37</f>
        <v>1076056677.7798374</v>
      </c>
      <c r="C47" s="57"/>
    </row>
    <row r="48" spans="1:12" x14ac:dyDescent="0.3">
      <c r="A48" s="47" t="s">
        <v>79</v>
      </c>
      <c r="B48" s="22">
        <f>J$37</f>
        <v>1110656794.610981</v>
      </c>
      <c r="C48" s="57"/>
    </row>
    <row r="49" spans="1:3" x14ac:dyDescent="0.3">
      <c r="A49" s="47" t="s">
        <v>80</v>
      </c>
      <c r="B49" s="22">
        <f>K$37</f>
        <v>1146352875.3595035</v>
      </c>
      <c r="C49" s="57"/>
    </row>
    <row r="50" spans="1:3" x14ac:dyDescent="0.3">
      <c r="A50" s="48" t="s">
        <v>69</v>
      </c>
      <c r="B50" s="23">
        <f>L$37</f>
        <v>1183179247.9532361</v>
      </c>
      <c r="C50" s="57"/>
    </row>
    <row r="51" spans="1:3" x14ac:dyDescent="0.3">
      <c r="A51" s="15"/>
      <c r="B51" s="15"/>
      <c r="C51" s="57"/>
    </row>
    <row r="52" spans="1:3" x14ac:dyDescent="0.3">
      <c r="A52" s="270" t="s">
        <v>70</v>
      </c>
      <c r="B52" s="271"/>
      <c r="C52" s="57"/>
    </row>
    <row r="53" spans="1:3" x14ac:dyDescent="0.3">
      <c r="A53" s="49" t="s">
        <v>27</v>
      </c>
      <c r="B53" s="24">
        <f>IRR(B40:B50)</f>
        <v>7.0539218565478734E-2</v>
      </c>
      <c r="C53" s="58"/>
    </row>
    <row r="54" spans="1:3" x14ac:dyDescent="0.3">
      <c r="A54" s="50" t="s">
        <v>71</v>
      </c>
      <c r="B54" s="25">
        <f>D36/$C$3</f>
        <v>0.13119496538742856</v>
      </c>
      <c r="C54" s="58"/>
    </row>
    <row r="55" spans="1:3" x14ac:dyDescent="0.3">
      <c r="A55" s="51" t="s">
        <v>72</v>
      </c>
      <c r="B55" s="26" cm="1">
        <f t="array" ref="B55">(COUNTIF(B38:L38,"&lt;0")-1) + (-INDEX(B38:L38, COUNTIF(B38:L38,"&lt;0")) / INDEX(B37:L37, COUNTIF(B38:L38,"&lt;0")+1))</f>
        <v>7.2116023354509284</v>
      </c>
      <c r="C55" s="63"/>
    </row>
    <row r="65" spans="1:16" x14ac:dyDescent="0.3">
      <c r="A65" s="268" t="s">
        <v>97</v>
      </c>
      <c r="B65" s="269"/>
      <c r="H65" s="272" t="s">
        <v>89</v>
      </c>
      <c r="I65" s="273"/>
      <c r="J65" s="272" t="s">
        <v>99</v>
      </c>
      <c r="K65" s="273"/>
      <c r="M65" s="276"/>
      <c r="N65" s="276"/>
      <c r="O65" s="276"/>
      <c r="P65" s="276"/>
    </row>
    <row r="66" spans="1:16" ht="27.6" customHeight="1" x14ac:dyDescent="0.3">
      <c r="A66" s="90" t="s">
        <v>85</v>
      </c>
      <c r="B66" s="91">
        <f>ABS(E27)</f>
        <v>164481935.99999991</v>
      </c>
      <c r="H66" s="80" t="s">
        <v>90</v>
      </c>
      <c r="I66" s="81">
        <v>8.6977327173762609E-2</v>
      </c>
      <c r="J66" s="274" t="s">
        <v>104</v>
      </c>
      <c r="K66" s="275"/>
      <c r="M66" s="75"/>
      <c r="N66" s="83"/>
      <c r="O66" s="279"/>
      <c r="P66" s="279"/>
    </row>
    <row r="67" spans="1:16" ht="28.8" x14ac:dyDescent="0.3">
      <c r="A67" s="92" t="s">
        <v>86</v>
      </c>
      <c r="B67" s="93">
        <f>ABS((E30)+ABS((E31)))</f>
        <v>128624873.95199999</v>
      </c>
      <c r="H67" s="78" t="s">
        <v>92</v>
      </c>
      <c r="I67" s="81">
        <v>7.19463415673669E-2</v>
      </c>
      <c r="J67" s="274" t="s">
        <v>98</v>
      </c>
      <c r="K67" s="275"/>
    </row>
    <row r="68" spans="1:16" ht="32.4" customHeight="1" x14ac:dyDescent="0.3">
      <c r="A68" s="92" t="s">
        <v>87</v>
      </c>
      <c r="B68" s="93">
        <f>ABS(E33)</f>
        <v>512285590.49999988</v>
      </c>
      <c r="H68" s="78" t="s">
        <v>101</v>
      </c>
      <c r="I68" s="81">
        <v>-2.8129042561216067E-2</v>
      </c>
      <c r="J68" s="274" t="s">
        <v>102</v>
      </c>
      <c r="K68" s="275"/>
    </row>
    <row r="69" spans="1:16" ht="31.2" customHeight="1" x14ac:dyDescent="0.3">
      <c r="A69" s="94" t="s">
        <v>88</v>
      </c>
      <c r="B69" s="95">
        <f>ABS(E35)</f>
        <v>208089843.54264</v>
      </c>
      <c r="H69" s="78" t="s">
        <v>91</v>
      </c>
      <c r="I69" s="81">
        <v>6.7257102082223685E-2</v>
      </c>
      <c r="J69" s="274" t="s">
        <v>103</v>
      </c>
      <c r="K69" s="275"/>
    </row>
    <row r="70" spans="1:16" ht="43.2" customHeight="1" x14ac:dyDescent="0.3">
      <c r="H70" s="78" t="s">
        <v>93</v>
      </c>
      <c r="I70" s="81">
        <v>7.766549609964879E-2</v>
      </c>
      <c r="J70" s="274" t="s">
        <v>100</v>
      </c>
      <c r="K70" s="275"/>
    </row>
    <row r="71" spans="1:16" ht="43.2" customHeight="1" x14ac:dyDescent="0.3">
      <c r="H71" s="78" t="s">
        <v>106</v>
      </c>
      <c r="I71" s="81">
        <v>7.0539218565478734E-2</v>
      </c>
      <c r="J71" s="274" t="s">
        <v>105</v>
      </c>
      <c r="K71" s="275"/>
    </row>
  </sheetData>
  <mergeCells count="14">
    <mergeCell ref="J70:K70"/>
    <mergeCell ref="J71:K71"/>
    <mergeCell ref="O65:P65"/>
    <mergeCell ref="J66:K66"/>
    <mergeCell ref="O66:P66"/>
    <mergeCell ref="J67:K67"/>
    <mergeCell ref="J68:K68"/>
    <mergeCell ref="J69:K69"/>
    <mergeCell ref="M65:N65"/>
    <mergeCell ref="J40:K40"/>
    <mergeCell ref="A52:B52"/>
    <mergeCell ref="A65:B65"/>
    <mergeCell ref="H65:I65"/>
    <mergeCell ref="J65:K65"/>
  </mergeCells>
  <conditionalFormatting sqref="I66:I7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{9456A0A1-1FC0-4C37-9DC3-80F963008FAC}</x14:id>
        </ext>
      </extLst>
    </cfRule>
  </conditionalFormatting>
  <conditionalFormatting sqref="N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{9CAF804D-3B4B-4BFD-B14C-0208981620A1}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56A0A1-1FC0-4C37-9DC3-80F963008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I66:I71</xm:sqref>
        </x14:conditionalFormatting>
        <x14:conditionalFormatting xmlns:xm="http://schemas.microsoft.com/office/excel/2006/main">
          <x14:cfRule type="dataBar" id="{9CAF804D-3B4B-4BFD-B14C-0208981620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Coves Data</vt:lpstr>
      <vt:lpstr>Financial Model Original</vt:lpstr>
      <vt:lpstr>Medium case - Main Dashboard</vt:lpstr>
      <vt:lpstr>WACC</vt:lpstr>
      <vt:lpstr>Opex Schedule</vt:lpstr>
      <vt:lpstr>Assumptions</vt:lpstr>
      <vt:lpstr>Annual Projections</vt:lpstr>
      <vt:lpstr>Loan Repayment Structure</vt:lpstr>
      <vt:lpstr>Salary Details</vt:lpstr>
      <vt:lpstr>Financial Model (2)</vt:lpstr>
      <vt:lpstr>Sheet10</vt:lpstr>
      <vt:lpstr>Financial Model (87%)</vt:lpstr>
      <vt:lpstr>Financial Model (60%)</vt:lpstr>
      <vt:lpstr>Financial Model lower monthly</vt:lpstr>
      <vt:lpstr>Financial Model (200 thou lower</vt:lpstr>
      <vt:lpstr>Financial Model (200 thou 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KNS HP 11</dc:creator>
  <cp:lastModifiedBy>JERIN GROVER</cp:lastModifiedBy>
  <dcterms:created xsi:type="dcterms:W3CDTF">2025-09-24T10:57:59Z</dcterms:created>
  <dcterms:modified xsi:type="dcterms:W3CDTF">2026-04-02T04:30:21Z</dcterms:modified>
</cp:coreProperties>
</file>